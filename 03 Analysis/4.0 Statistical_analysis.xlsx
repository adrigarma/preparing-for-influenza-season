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8624ecb572bd8f/Documentos/GitHub/preparing-for-influenza-season/"/>
    </mc:Choice>
  </mc:AlternateContent>
  <xr:revisionPtr revIDLastSave="3" documentId="8_{C6436CA2-D909-45F8-A499-B17DF18F2E50}" xr6:coauthVersionLast="47" xr6:coauthVersionMax="47" xr10:uidLastSave="{F7CBCE51-A317-4193-9AD9-C48845710F4A}"/>
  <bookViews>
    <workbookView xWindow="-108" yWindow="-108" windowWidth="23256" windowHeight="13896" activeTab="1" xr2:uid="{B81FB0CD-FE28-4542-ADE3-3A274AD7AF6B}"/>
  </bookViews>
  <sheets>
    <sheet name="Integrated Data Set" sheetId="1" r:id="rId1"/>
    <sheet name="Statistical Analysis" sheetId="4" r:id="rId2"/>
  </sheets>
  <definedNames>
    <definedName name="_xlnm._FilterDatabase" localSheetId="0" hidden="1">'Integrated Data Set'!$A$2:$M$461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C463" i="1" l="1"/>
  <c r="D463" i="1"/>
  <c r="D462" i="1"/>
  <c r="C462" i="1"/>
  <c r="E11" i="4"/>
  <c r="E10" i="4"/>
  <c r="B10" i="4"/>
  <c r="L3" i="1"/>
  <c r="L4" i="1"/>
  <c r="L5" i="1"/>
  <c r="L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7" i="1"/>
  <c r="K3" i="1"/>
  <c r="K4" i="1"/>
  <c r="K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6" i="1"/>
  <c r="E7" i="4"/>
  <c r="E8" i="4"/>
  <c r="D7" i="4"/>
  <c r="D8" i="4"/>
  <c r="D10" i="4"/>
  <c r="D11" i="4"/>
  <c r="C11" i="4"/>
  <c r="B11" i="4"/>
  <c r="B7" i="4"/>
  <c r="B8" i="4"/>
  <c r="G11" i="4"/>
  <c r="F11" i="4"/>
  <c r="G10" i="4"/>
  <c r="F10" i="4"/>
  <c r="C10" i="4"/>
  <c r="G8" i="4"/>
  <c r="F8" i="4"/>
  <c r="C8" i="4"/>
  <c r="G7" i="4"/>
  <c r="F7" i="4"/>
  <c r="C7" i="4"/>
  <c r="J261" i="1"/>
  <c r="J262" i="1"/>
  <c r="J263" i="1"/>
  <c r="J259" i="1"/>
  <c r="J246" i="1"/>
  <c r="J238" i="1"/>
  <c r="J245" i="1"/>
  <c r="J248" i="1"/>
  <c r="J54" i="1"/>
  <c r="J51" i="1"/>
  <c r="J47" i="1"/>
  <c r="J46" i="1"/>
  <c r="J53" i="1"/>
  <c r="J37" i="1"/>
  <c r="J48" i="1"/>
  <c r="J52" i="1"/>
  <c r="J49" i="1"/>
  <c r="J328" i="1"/>
  <c r="J324" i="1"/>
  <c r="J323" i="1"/>
  <c r="J329" i="1"/>
  <c r="J332" i="1"/>
  <c r="J333" i="1"/>
  <c r="J330" i="1"/>
  <c r="J327" i="1"/>
  <c r="J339" i="1"/>
  <c r="J187" i="1"/>
  <c r="J189" i="1"/>
  <c r="J184" i="1"/>
  <c r="J172" i="1"/>
  <c r="J176" i="1"/>
  <c r="J148" i="1"/>
  <c r="J157" i="1"/>
  <c r="J149" i="1"/>
  <c r="J165" i="1"/>
  <c r="J453" i="1"/>
  <c r="J454" i="1"/>
  <c r="J455" i="1"/>
  <c r="J456" i="1"/>
  <c r="J457" i="1"/>
  <c r="J458" i="1"/>
  <c r="J460" i="1"/>
  <c r="J461" i="1"/>
  <c r="J459" i="1"/>
  <c r="J266" i="1"/>
  <c r="J265" i="1"/>
  <c r="J269" i="1"/>
  <c r="J267" i="1"/>
  <c r="J276" i="1"/>
  <c r="J272" i="1"/>
  <c r="J278" i="1"/>
  <c r="J280" i="1"/>
  <c r="J279" i="1"/>
  <c r="J201" i="1"/>
  <c r="J208" i="1"/>
  <c r="J209" i="1"/>
  <c r="J210" i="1"/>
  <c r="J211" i="1"/>
  <c r="J212" i="1"/>
  <c r="J207" i="1"/>
  <c r="J203" i="1"/>
  <c r="J202" i="1"/>
  <c r="J58" i="1"/>
  <c r="J61" i="1"/>
  <c r="J62" i="1"/>
  <c r="J63" i="1"/>
  <c r="J64" i="1"/>
  <c r="J65" i="1"/>
  <c r="J66" i="1"/>
  <c r="J68" i="1"/>
  <c r="J69" i="1"/>
  <c r="J23" i="1"/>
  <c r="J22" i="1"/>
  <c r="J26" i="1"/>
  <c r="J28" i="1"/>
  <c r="J32" i="1"/>
  <c r="J36" i="1"/>
  <c r="J38" i="1"/>
  <c r="J40" i="1"/>
  <c r="J41" i="1"/>
  <c r="J426" i="1"/>
  <c r="J428" i="1"/>
  <c r="J429" i="1"/>
  <c r="J427" i="1"/>
  <c r="J430" i="1"/>
  <c r="J432" i="1"/>
  <c r="J431" i="1"/>
  <c r="J433" i="1"/>
  <c r="J434" i="1"/>
  <c r="J396" i="1"/>
  <c r="J391" i="1"/>
  <c r="J392" i="1"/>
  <c r="J390" i="1"/>
  <c r="J394" i="1"/>
  <c r="J387" i="1"/>
  <c r="J393" i="1"/>
  <c r="J388" i="1"/>
  <c r="J385" i="1"/>
  <c r="J90" i="1"/>
  <c r="J103" i="1"/>
  <c r="J104" i="1"/>
  <c r="J105" i="1"/>
  <c r="J106" i="1"/>
  <c r="J107" i="1"/>
  <c r="J109" i="1"/>
  <c r="J110" i="1"/>
  <c r="J108" i="1"/>
  <c r="J117" i="1"/>
  <c r="J118" i="1"/>
  <c r="J119" i="1"/>
  <c r="J120" i="1"/>
  <c r="J121" i="1"/>
  <c r="J111" i="1"/>
  <c r="J116" i="1"/>
  <c r="J115" i="1"/>
  <c r="J112" i="1"/>
  <c r="J425" i="1"/>
  <c r="J424" i="1"/>
  <c r="J422" i="1"/>
  <c r="J423" i="1"/>
  <c r="J421" i="1"/>
  <c r="J420" i="1"/>
  <c r="J418" i="1"/>
  <c r="J419" i="1"/>
  <c r="J417" i="1"/>
  <c r="J331" i="1"/>
  <c r="J335" i="1"/>
  <c r="J318" i="1"/>
  <c r="J321" i="1"/>
  <c r="J325" i="1"/>
  <c r="J320" i="1"/>
  <c r="J311" i="1"/>
  <c r="J315" i="1"/>
  <c r="J326" i="1"/>
  <c r="J195" i="1"/>
  <c r="J191" i="1"/>
  <c r="J182" i="1"/>
  <c r="J196" i="1"/>
  <c r="J188" i="1"/>
  <c r="J153" i="1"/>
  <c r="J183" i="1"/>
  <c r="J152" i="1"/>
  <c r="J150" i="1"/>
  <c r="J177" i="1"/>
  <c r="J167" i="1"/>
  <c r="J168" i="1"/>
  <c r="J180" i="1"/>
  <c r="J155" i="1"/>
  <c r="J161" i="1"/>
  <c r="J170" i="1"/>
  <c r="J164" i="1"/>
  <c r="J156" i="1"/>
  <c r="J236" i="1"/>
  <c r="J231" i="1"/>
  <c r="J233" i="1"/>
  <c r="J235" i="1"/>
  <c r="J232" i="1"/>
  <c r="J230" i="1"/>
  <c r="J234" i="1"/>
  <c r="J229" i="1"/>
  <c r="J227" i="1"/>
  <c r="J249" i="1"/>
  <c r="J252" i="1"/>
  <c r="J255" i="1"/>
  <c r="J244" i="1"/>
  <c r="J240" i="1"/>
  <c r="J251" i="1"/>
  <c r="J241" i="1"/>
  <c r="J243" i="1"/>
  <c r="J237" i="1"/>
  <c r="J96" i="1"/>
  <c r="J98" i="1"/>
  <c r="J97" i="1"/>
  <c r="J92" i="1"/>
  <c r="J93" i="1"/>
  <c r="J91" i="1"/>
  <c r="J87" i="1"/>
  <c r="J85" i="1"/>
  <c r="J84" i="1"/>
  <c r="J299" i="1"/>
  <c r="J302" i="1"/>
  <c r="J301" i="1"/>
  <c r="J303" i="1"/>
  <c r="J304" i="1"/>
  <c r="J307" i="1"/>
  <c r="J308" i="1"/>
  <c r="J305" i="1"/>
  <c r="J306" i="1"/>
  <c r="J338" i="1"/>
  <c r="J334" i="1"/>
  <c r="J336" i="1"/>
  <c r="J337" i="1"/>
  <c r="J340" i="1"/>
  <c r="J341" i="1"/>
  <c r="J342" i="1"/>
  <c r="J345" i="1"/>
  <c r="J344" i="1"/>
  <c r="J398" i="1"/>
  <c r="J397" i="1"/>
  <c r="J395" i="1"/>
  <c r="J389" i="1"/>
  <c r="J384" i="1"/>
  <c r="J383" i="1"/>
  <c r="J380" i="1"/>
  <c r="J379" i="1"/>
  <c r="J374" i="1"/>
  <c r="J277" i="1"/>
  <c r="J281" i="1"/>
  <c r="J270" i="1"/>
  <c r="J268" i="1"/>
  <c r="J274" i="1"/>
  <c r="J275" i="1"/>
  <c r="J271" i="1"/>
  <c r="J273" i="1"/>
  <c r="J264" i="1"/>
  <c r="J198" i="1"/>
  <c r="J190" i="1"/>
  <c r="J174" i="1"/>
  <c r="J185" i="1"/>
  <c r="J186" i="1"/>
  <c r="J154" i="1"/>
  <c r="J166" i="1"/>
  <c r="J160" i="1"/>
  <c r="J147" i="1"/>
  <c r="J300" i="1"/>
  <c r="J296" i="1"/>
  <c r="J297" i="1"/>
  <c r="J298" i="1"/>
  <c r="J290" i="1"/>
  <c r="J295" i="1"/>
  <c r="J289" i="1"/>
  <c r="J294" i="1"/>
  <c r="J286" i="1"/>
  <c r="J74" i="1"/>
  <c r="J73" i="1"/>
  <c r="J70" i="1"/>
  <c r="J67" i="1"/>
  <c r="J60" i="1"/>
  <c r="J59" i="1"/>
  <c r="J72" i="1"/>
  <c r="J71" i="1"/>
  <c r="J56" i="1"/>
  <c r="J135" i="1"/>
  <c r="J134" i="1"/>
  <c r="J136" i="1"/>
  <c r="J130" i="1"/>
  <c r="J133" i="1"/>
  <c r="J128" i="1"/>
  <c r="J125" i="1"/>
  <c r="J137" i="1"/>
  <c r="J129" i="1"/>
  <c r="J151" i="1"/>
  <c r="J158" i="1"/>
  <c r="J162" i="1"/>
  <c r="J159" i="1"/>
  <c r="J169" i="1"/>
  <c r="J163" i="1"/>
  <c r="J175" i="1"/>
  <c r="J179" i="1"/>
  <c r="J178" i="1"/>
  <c r="J102" i="1"/>
  <c r="J101" i="1"/>
  <c r="J88" i="1"/>
  <c r="J100" i="1"/>
  <c r="J99" i="1"/>
  <c r="J89" i="1"/>
  <c r="J86" i="1"/>
  <c r="J95" i="1"/>
  <c r="J94" i="1"/>
  <c r="J363" i="1"/>
  <c r="J365" i="1"/>
  <c r="J366" i="1"/>
  <c r="J367" i="1"/>
  <c r="J369" i="1"/>
  <c r="J371" i="1"/>
  <c r="J370" i="1"/>
  <c r="J364" i="1"/>
  <c r="J368" i="1"/>
  <c r="J142" i="1"/>
  <c r="J143" i="1"/>
  <c r="J146" i="1"/>
  <c r="J145" i="1"/>
  <c r="J144" i="1"/>
  <c r="J140" i="1"/>
  <c r="J138" i="1"/>
  <c r="J139" i="1"/>
  <c r="J141" i="1"/>
  <c r="J443" i="1"/>
  <c r="J437" i="1"/>
  <c r="J436" i="1"/>
  <c r="J435" i="1"/>
  <c r="J439" i="1"/>
  <c r="J441" i="1"/>
  <c r="J440" i="1"/>
  <c r="J442" i="1"/>
  <c r="J438" i="1"/>
  <c r="J373" i="1"/>
  <c r="J375" i="1"/>
  <c r="J377" i="1"/>
  <c r="J378" i="1"/>
  <c r="J381" i="1"/>
  <c r="J382" i="1"/>
  <c r="J372" i="1"/>
  <c r="J376" i="1"/>
  <c r="J386" i="1"/>
  <c r="J25" i="1"/>
  <c r="J15" i="1"/>
  <c r="J35" i="1"/>
  <c r="J33" i="1"/>
  <c r="J31" i="1"/>
  <c r="J30" i="1"/>
  <c r="J34" i="1"/>
  <c r="J18" i="1"/>
  <c r="J42" i="1"/>
  <c r="J407" i="1"/>
  <c r="J406" i="1"/>
  <c r="J405" i="1"/>
  <c r="J404" i="1"/>
  <c r="J402" i="1"/>
  <c r="J403" i="1"/>
  <c r="J399" i="1"/>
  <c r="J401" i="1"/>
  <c r="J400" i="1"/>
  <c r="J214" i="1"/>
  <c r="J216" i="1"/>
  <c r="J205" i="1"/>
  <c r="J219" i="1"/>
  <c r="J217" i="1"/>
  <c r="J213" i="1"/>
  <c r="J215" i="1"/>
  <c r="J206" i="1"/>
  <c r="J204" i="1"/>
  <c r="J221" i="1"/>
  <c r="J225" i="1"/>
  <c r="J223" i="1"/>
  <c r="J218" i="1"/>
  <c r="J222" i="1"/>
  <c r="J224" i="1"/>
  <c r="J220" i="1"/>
  <c r="J228" i="1"/>
  <c r="J226" i="1"/>
  <c r="J413" i="1"/>
  <c r="J415" i="1"/>
  <c r="J411" i="1"/>
  <c r="J416" i="1"/>
  <c r="J414" i="1"/>
  <c r="J409" i="1"/>
  <c r="J408" i="1"/>
  <c r="J412" i="1"/>
  <c r="J410" i="1"/>
  <c r="J83" i="1"/>
  <c r="J82" i="1"/>
  <c r="J81" i="1"/>
  <c r="J80" i="1"/>
  <c r="J79" i="1"/>
  <c r="J78" i="1"/>
  <c r="J77" i="1"/>
  <c r="J76" i="1"/>
  <c r="J75" i="1"/>
  <c r="J242" i="1"/>
  <c r="J250" i="1"/>
  <c r="J239" i="1"/>
  <c r="J253" i="1"/>
  <c r="J254" i="1"/>
  <c r="J256" i="1"/>
  <c r="J247" i="1"/>
  <c r="J258" i="1"/>
  <c r="J257" i="1"/>
  <c r="J57" i="1"/>
  <c r="J43" i="1"/>
  <c r="J55" i="1"/>
  <c r="J50" i="1"/>
  <c r="J39" i="1"/>
  <c r="J21" i="1"/>
  <c r="J16" i="1"/>
  <c r="J45" i="1"/>
  <c r="J44" i="1"/>
  <c r="J313" i="1"/>
  <c r="J317" i="1"/>
  <c r="J322" i="1"/>
  <c r="J314" i="1"/>
  <c r="J309" i="1"/>
  <c r="J312" i="1"/>
  <c r="J316" i="1"/>
  <c r="J310" i="1"/>
  <c r="J319" i="1"/>
  <c r="J444" i="1"/>
  <c r="J445" i="1"/>
  <c r="J446" i="1"/>
  <c r="J447" i="1"/>
  <c r="J448" i="1"/>
  <c r="J450" i="1"/>
  <c r="J449" i="1"/>
  <c r="J451" i="1"/>
  <c r="J452" i="1"/>
  <c r="J173" i="1"/>
  <c r="J181" i="1"/>
  <c r="J171" i="1"/>
  <c r="J193" i="1"/>
  <c r="J192" i="1"/>
  <c r="J194" i="1"/>
  <c r="J197" i="1"/>
  <c r="J200" i="1"/>
  <c r="J199" i="1"/>
  <c r="J27" i="1"/>
  <c r="J20" i="1"/>
  <c r="J29" i="1"/>
  <c r="J14" i="1"/>
  <c r="J8" i="1"/>
  <c r="J5" i="1"/>
  <c r="J24" i="1"/>
  <c r="J3" i="1"/>
  <c r="J17" i="1"/>
  <c r="J358" i="1"/>
  <c r="J355" i="1"/>
  <c r="J361" i="1"/>
  <c r="J354" i="1"/>
  <c r="J357" i="1"/>
  <c r="J356" i="1"/>
  <c r="J360" i="1"/>
  <c r="J359" i="1"/>
  <c r="J362" i="1"/>
  <c r="J343" i="1"/>
  <c r="J346" i="1"/>
  <c r="J348" i="1"/>
  <c r="J349" i="1"/>
  <c r="J350" i="1"/>
  <c r="J352" i="1"/>
  <c r="J347" i="1"/>
  <c r="J353" i="1"/>
  <c r="J351" i="1"/>
  <c r="J132" i="1"/>
  <c r="J131" i="1"/>
  <c r="J127" i="1"/>
  <c r="J124" i="1"/>
  <c r="J126" i="1"/>
  <c r="J122" i="1"/>
  <c r="J114" i="1"/>
  <c r="J123" i="1"/>
  <c r="J113" i="1"/>
  <c r="J293" i="1"/>
  <c r="J292" i="1"/>
  <c r="J285" i="1"/>
  <c r="J291" i="1"/>
  <c r="J287" i="1"/>
  <c r="J288" i="1"/>
  <c r="J284" i="1"/>
  <c r="J283" i="1"/>
  <c r="J282" i="1"/>
  <c r="J9" i="1"/>
  <c r="J12" i="1"/>
  <c r="J11" i="1"/>
  <c r="J19" i="1"/>
  <c r="J6" i="1"/>
  <c r="J13" i="1"/>
  <c r="J7" i="1"/>
  <c r="J4" i="1"/>
  <c r="J10" i="1"/>
  <c r="J260" i="1"/>
  <c r="I261" i="1"/>
  <c r="I262" i="1"/>
  <c r="I263" i="1"/>
  <c r="I259" i="1"/>
  <c r="I246" i="1"/>
  <c r="I238" i="1"/>
  <c r="I245" i="1"/>
  <c r="I248" i="1"/>
  <c r="I54" i="1"/>
  <c r="I51" i="1"/>
  <c r="I47" i="1"/>
  <c r="I46" i="1"/>
  <c r="I53" i="1"/>
  <c r="I37" i="1"/>
  <c r="I48" i="1"/>
  <c r="I52" i="1"/>
  <c r="I49" i="1"/>
  <c r="I328" i="1"/>
  <c r="I324" i="1"/>
  <c r="I323" i="1"/>
  <c r="I329" i="1"/>
  <c r="I332" i="1"/>
  <c r="I333" i="1"/>
  <c r="I330" i="1"/>
  <c r="I327" i="1"/>
  <c r="I339" i="1"/>
  <c r="I187" i="1"/>
  <c r="I189" i="1"/>
  <c r="I184" i="1"/>
  <c r="I172" i="1"/>
  <c r="I176" i="1"/>
  <c r="I148" i="1"/>
  <c r="I157" i="1"/>
  <c r="I149" i="1"/>
  <c r="I165" i="1"/>
  <c r="I453" i="1"/>
  <c r="I454" i="1"/>
  <c r="I455" i="1"/>
  <c r="I456" i="1"/>
  <c r="I457" i="1"/>
  <c r="I458" i="1"/>
  <c r="I460" i="1"/>
  <c r="I461" i="1"/>
  <c r="I459" i="1"/>
  <c r="I266" i="1"/>
  <c r="I265" i="1"/>
  <c r="I269" i="1"/>
  <c r="I267" i="1"/>
  <c r="I276" i="1"/>
  <c r="I272" i="1"/>
  <c r="I278" i="1"/>
  <c r="I280" i="1"/>
  <c r="I279" i="1"/>
  <c r="I201" i="1"/>
  <c r="I208" i="1"/>
  <c r="I209" i="1"/>
  <c r="I210" i="1"/>
  <c r="I211" i="1"/>
  <c r="I212" i="1"/>
  <c r="I207" i="1"/>
  <c r="I203" i="1"/>
  <c r="I202" i="1"/>
  <c r="I58" i="1"/>
  <c r="I61" i="1"/>
  <c r="I62" i="1"/>
  <c r="I63" i="1"/>
  <c r="I64" i="1"/>
  <c r="I65" i="1"/>
  <c r="I66" i="1"/>
  <c r="I68" i="1"/>
  <c r="I69" i="1"/>
  <c r="I23" i="1"/>
  <c r="I22" i="1"/>
  <c r="I26" i="1"/>
  <c r="I28" i="1"/>
  <c r="I32" i="1"/>
  <c r="I36" i="1"/>
  <c r="I38" i="1"/>
  <c r="I40" i="1"/>
  <c r="I41" i="1"/>
  <c r="I426" i="1"/>
  <c r="I428" i="1"/>
  <c r="I429" i="1"/>
  <c r="I427" i="1"/>
  <c r="I430" i="1"/>
  <c r="I432" i="1"/>
  <c r="I431" i="1"/>
  <c r="I433" i="1"/>
  <c r="I434" i="1"/>
  <c r="I396" i="1"/>
  <c r="I391" i="1"/>
  <c r="I392" i="1"/>
  <c r="I390" i="1"/>
  <c r="I394" i="1"/>
  <c r="I387" i="1"/>
  <c r="I393" i="1"/>
  <c r="I388" i="1"/>
  <c r="I385" i="1"/>
  <c r="I90" i="1"/>
  <c r="I103" i="1"/>
  <c r="I104" i="1"/>
  <c r="I105" i="1"/>
  <c r="I106" i="1"/>
  <c r="I107" i="1"/>
  <c r="I109" i="1"/>
  <c r="I110" i="1"/>
  <c r="I108" i="1"/>
  <c r="I117" i="1"/>
  <c r="I118" i="1"/>
  <c r="I119" i="1"/>
  <c r="I120" i="1"/>
  <c r="I121" i="1"/>
  <c r="I111" i="1"/>
  <c r="I116" i="1"/>
  <c r="I115" i="1"/>
  <c r="I112" i="1"/>
  <c r="I425" i="1"/>
  <c r="I424" i="1"/>
  <c r="I422" i="1"/>
  <c r="I423" i="1"/>
  <c r="I421" i="1"/>
  <c r="I420" i="1"/>
  <c r="I418" i="1"/>
  <c r="I419" i="1"/>
  <c r="I417" i="1"/>
  <c r="I331" i="1"/>
  <c r="I335" i="1"/>
  <c r="I318" i="1"/>
  <c r="I321" i="1"/>
  <c r="I325" i="1"/>
  <c r="I320" i="1"/>
  <c r="I311" i="1"/>
  <c r="I315" i="1"/>
  <c r="I326" i="1"/>
  <c r="I195" i="1"/>
  <c r="I191" i="1"/>
  <c r="I182" i="1"/>
  <c r="I196" i="1"/>
  <c r="I188" i="1"/>
  <c r="I153" i="1"/>
  <c r="I183" i="1"/>
  <c r="I152" i="1"/>
  <c r="I150" i="1"/>
  <c r="I177" i="1"/>
  <c r="I167" i="1"/>
  <c r="I168" i="1"/>
  <c r="I180" i="1"/>
  <c r="I155" i="1"/>
  <c r="I161" i="1"/>
  <c r="I170" i="1"/>
  <c r="I164" i="1"/>
  <c r="I156" i="1"/>
  <c r="I236" i="1"/>
  <c r="I231" i="1"/>
  <c r="I233" i="1"/>
  <c r="I235" i="1"/>
  <c r="I232" i="1"/>
  <c r="I230" i="1"/>
  <c r="I234" i="1"/>
  <c r="I229" i="1"/>
  <c r="I227" i="1"/>
  <c r="I249" i="1"/>
  <c r="I252" i="1"/>
  <c r="I255" i="1"/>
  <c r="I244" i="1"/>
  <c r="I240" i="1"/>
  <c r="I251" i="1"/>
  <c r="I241" i="1"/>
  <c r="I243" i="1"/>
  <c r="I237" i="1"/>
  <c r="I96" i="1"/>
  <c r="I98" i="1"/>
  <c r="I97" i="1"/>
  <c r="I92" i="1"/>
  <c r="I93" i="1"/>
  <c r="I91" i="1"/>
  <c r="I87" i="1"/>
  <c r="I85" i="1"/>
  <c r="I84" i="1"/>
  <c r="I299" i="1"/>
  <c r="I302" i="1"/>
  <c r="I301" i="1"/>
  <c r="I303" i="1"/>
  <c r="I304" i="1"/>
  <c r="I307" i="1"/>
  <c r="I308" i="1"/>
  <c r="I305" i="1"/>
  <c r="I306" i="1"/>
  <c r="I338" i="1"/>
  <c r="I334" i="1"/>
  <c r="I336" i="1"/>
  <c r="I337" i="1"/>
  <c r="I340" i="1"/>
  <c r="I341" i="1"/>
  <c r="I342" i="1"/>
  <c r="I345" i="1"/>
  <c r="I344" i="1"/>
  <c r="I398" i="1"/>
  <c r="I397" i="1"/>
  <c r="I395" i="1"/>
  <c r="I389" i="1"/>
  <c r="I384" i="1"/>
  <c r="I383" i="1"/>
  <c r="I380" i="1"/>
  <c r="I379" i="1"/>
  <c r="I374" i="1"/>
  <c r="I277" i="1"/>
  <c r="I281" i="1"/>
  <c r="I270" i="1"/>
  <c r="I268" i="1"/>
  <c r="I274" i="1"/>
  <c r="I275" i="1"/>
  <c r="I271" i="1"/>
  <c r="I273" i="1"/>
  <c r="I264" i="1"/>
  <c r="I198" i="1"/>
  <c r="I190" i="1"/>
  <c r="I174" i="1"/>
  <c r="I185" i="1"/>
  <c r="I186" i="1"/>
  <c r="I154" i="1"/>
  <c r="I166" i="1"/>
  <c r="I160" i="1"/>
  <c r="I147" i="1"/>
  <c r="I300" i="1"/>
  <c r="I296" i="1"/>
  <c r="I297" i="1"/>
  <c r="I298" i="1"/>
  <c r="I290" i="1"/>
  <c r="I295" i="1"/>
  <c r="I289" i="1"/>
  <c r="I294" i="1"/>
  <c r="I286" i="1"/>
  <c r="I74" i="1"/>
  <c r="I73" i="1"/>
  <c r="I70" i="1"/>
  <c r="I67" i="1"/>
  <c r="I60" i="1"/>
  <c r="I59" i="1"/>
  <c r="I72" i="1"/>
  <c r="I71" i="1"/>
  <c r="I56" i="1"/>
  <c r="I135" i="1"/>
  <c r="I134" i="1"/>
  <c r="I136" i="1"/>
  <c r="I130" i="1"/>
  <c r="I133" i="1"/>
  <c r="I128" i="1"/>
  <c r="I125" i="1"/>
  <c r="I137" i="1"/>
  <c r="I129" i="1"/>
  <c r="I151" i="1"/>
  <c r="I158" i="1"/>
  <c r="I162" i="1"/>
  <c r="I159" i="1"/>
  <c r="I169" i="1"/>
  <c r="I163" i="1"/>
  <c r="I175" i="1"/>
  <c r="I179" i="1"/>
  <c r="I178" i="1"/>
  <c r="I102" i="1"/>
  <c r="I101" i="1"/>
  <c r="I88" i="1"/>
  <c r="I100" i="1"/>
  <c r="I99" i="1"/>
  <c r="I89" i="1"/>
  <c r="I86" i="1"/>
  <c r="I95" i="1"/>
  <c r="I94" i="1"/>
  <c r="I363" i="1"/>
  <c r="I365" i="1"/>
  <c r="I366" i="1"/>
  <c r="I367" i="1"/>
  <c r="I369" i="1"/>
  <c r="I371" i="1"/>
  <c r="I370" i="1"/>
  <c r="I364" i="1"/>
  <c r="I368" i="1"/>
  <c r="I142" i="1"/>
  <c r="I143" i="1"/>
  <c r="I146" i="1"/>
  <c r="I145" i="1"/>
  <c r="I144" i="1"/>
  <c r="I140" i="1"/>
  <c r="I138" i="1"/>
  <c r="I139" i="1"/>
  <c r="I141" i="1"/>
  <c r="I443" i="1"/>
  <c r="I437" i="1"/>
  <c r="I436" i="1"/>
  <c r="I435" i="1"/>
  <c r="I439" i="1"/>
  <c r="I441" i="1"/>
  <c r="I440" i="1"/>
  <c r="I442" i="1"/>
  <c r="I438" i="1"/>
  <c r="I373" i="1"/>
  <c r="I375" i="1"/>
  <c r="I377" i="1"/>
  <c r="I378" i="1"/>
  <c r="I381" i="1"/>
  <c r="I382" i="1"/>
  <c r="I372" i="1"/>
  <c r="I376" i="1"/>
  <c r="I386" i="1"/>
  <c r="I25" i="1"/>
  <c r="I15" i="1"/>
  <c r="I35" i="1"/>
  <c r="I33" i="1"/>
  <c r="I31" i="1"/>
  <c r="I30" i="1"/>
  <c r="I34" i="1"/>
  <c r="I18" i="1"/>
  <c r="I42" i="1"/>
  <c r="I407" i="1"/>
  <c r="I406" i="1"/>
  <c r="I405" i="1"/>
  <c r="I404" i="1"/>
  <c r="I402" i="1"/>
  <c r="I403" i="1"/>
  <c r="I399" i="1"/>
  <c r="I401" i="1"/>
  <c r="I400" i="1"/>
  <c r="I214" i="1"/>
  <c r="I216" i="1"/>
  <c r="I205" i="1"/>
  <c r="I219" i="1"/>
  <c r="I217" i="1"/>
  <c r="I213" i="1"/>
  <c r="I215" i="1"/>
  <c r="I206" i="1"/>
  <c r="I204" i="1"/>
  <c r="I221" i="1"/>
  <c r="I225" i="1"/>
  <c r="I223" i="1"/>
  <c r="I218" i="1"/>
  <c r="I222" i="1"/>
  <c r="I224" i="1"/>
  <c r="I220" i="1"/>
  <c r="I228" i="1"/>
  <c r="I226" i="1"/>
  <c r="I413" i="1"/>
  <c r="I415" i="1"/>
  <c r="I411" i="1"/>
  <c r="I416" i="1"/>
  <c r="I414" i="1"/>
  <c r="I409" i="1"/>
  <c r="I408" i="1"/>
  <c r="I412" i="1"/>
  <c r="I410" i="1"/>
  <c r="I83" i="1"/>
  <c r="I82" i="1"/>
  <c r="I81" i="1"/>
  <c r="I80" i="1"/>
  <c r="I79" i="1"/>
  <c r="I78" i="1"/>
  <c r="I77" i="1"/>
  <c r="I76" i="1"/>
  <c r="I75" i="1"/>
  <c r="I242" i="1"/>
  <c r="I250" i="1"/>
  <c r="I239" i="1"/>
  <c r="I253" i="1"/>
  <c r="I254" i="1"/>
  <c r="I256" i="1"/>
  <c r="I247" i="1"/>
  <c r="I258" i="1"/>
  <c r="I257" i="1"/>
  <c r="I57" i="1"/>
  <c r="I43" i="1"/>
  <c r="I55" i="1"/>
  <c r="I50" i="1"/>
  <c r="I39" i="1"/>
  <c r="I21" i="1"/>
  <c r="I16" i="1"/>
  <c r="I45" i="1"/>
  <c r="I44" i="1"/>
  <c r="I313" i="1"/>
  <c r="I317" i="1"/>
  <c r="I322" i="1"/>
  <c r="I314" i="1"/>
  <c r="I309" i="1"/>
  <c r="I312" i="1"/>
  <c r="I316" i="1"/>
  <c r="I310" i="1"/>
  <c r="I319" i="1"/>
  <c r="I444" i="1"/>
  <c r="I445" i="1"/>
  <c r="I446" i="1"/>
  <c r="I447" i="1"/>
  <c r="I448" i="1"/>
  <c r="I450" i="1"/>
  <c r="I449" i="1"/>
  <c r="I451" i="1"/>
  <c r="I452" i="1"/>
  <c r="I173" i="1"/>
  <c r="I181" i="1"/>
  <c r="I171" i="1"/>
  <c r="I193" i="1"/>
  <c r="I192" i="1"/>
  <c r="I194" i="1"/>
  <c r="I197" i="1"/>
  <c r="I200" i="1"/>
  <c r="I199" i="1"/>
  <c r="I27" i="1"/>
  <c r="I20" i="1"/>
  <c r="I29" i="1"/>
  <c r="I14" i="1"/>
  <c r="I8" i="1"/>
  <c r="I5" i="1"/>
  <c r="I24" i="1"/>
  <c r="I3" i="1"/>
  <c r="I17" i="1"/>
  <c r="I358" i="1"/>
  <c r="I355" i="1"/>
  <c r="I361" i="1"/>
  <c r="I354" i="1"/>
  <c r="I357" i="1"/>
  <c r="I356" i="1"/>
  <c r="I360" i="1"/>
  <c r="I359" i="1"/>
  <c r="I362" i="1"/>
  <c r="I343" i="1"/>
  <c r="I346" i="1"/>
  <c r="I348" i="1"/>
  <c r="I349" i="1"/>
  <c r="I350" i="1"/>
  <c r="I352" i="1"/>
  <c r="I347" i="1"/>
  <c r="I353" i="1"/>
  <c r="I351" i="1"/>
  <c r="I132" i="1"/>
  <c r="I131" i="1"/>
  <c r="I127" i="1"/>
  <c r="I124" i="1"/>
  <c r="I126" i="1"/>
  <c r="I122" i="1"/>
  <c r="I114" i="1"/>
  <c r="I123" i="1"/>
  <c r="I113" i="1"/>
  <c r="I293" i="1"/>
  <c r="I292" i="1"/>
  <c r="I285" i="1"/>
  <c r="I291" i="1"/>
  <c r="I287" i="1"/>
  <c r="I288" i="1"/>
  <c r="I284" i="1"/>
  <c r="I283" i="1"/>
  <c r="I282" i="1"/>
  <c r="I9" i="1"/>
  <c r="I12" i="1"/>
  <c r="I11" i="1"/>
  <c r="I19" i="1"/>
  <c r="I6" i="1"/>
  <c r="I13" i="1"/>
  <c r="I7" i="1"/>
  <c r="I4" i="1"/>
  <c r="I10" i="1"/>
  <c r="I260" i="1"/>
  <c r="B13" i="4" l="1"/>
  <c r="E12" i="4"/>
  <c r="E13" i="4"/>
  <c r="D12" i="4"/>
  <c r="D13" i="4"/>
  <c r="B12" i="4"/>
  <c r="B14" i="4" s="1"/>
  <c r="B15" i="4" s="1"/>
  <c r="C13" i="4"/>
  <c r="G13" i="4"/>
  <c r="F13" i="4"/>
  <c r="C12" i="4"/>
  <c r="F12" i="4"/>
  <c r="G12" i="4"/>
  <c r="M10" i="1"/>
  <c r="M4" i="1"/>
  <c r="M7" i="1"/>
  <c r="M13" i="1"/>
  <c r="M6" i="1"/>
  <c r="M19" i="1"/>
  <c r="M11" i="1"/>
  <c r="M12" i="1"/>
  <c r="M9" i="1"/>
  <c r="M282" i="1"/>
  <c r="M283" i="1"/>
  <c r="M284" i="1"/>
  <c r="M288" i="1"/>
  <c r="M287" i="1"/>
  <c r="M291" i="1"/>
  <c r="M285" i="1"/>
  <c r="M292" i="1"/>
  <c r="M293" i="1"/>
  <c r="M113" i="1"/>
  <c r="M123" i="1"/>
  <c r="M114" i="1"/>
  <c r="M122" i="1"/>
  <c r="M126" i="1"/>
  <c r="M124" i="1"/>
  <c r="M127" i="1"/>
  <c r="M131" i="1"/>
  <c r="M132" i="1"/>
  <c r="M351" i="1"/>
  <c r="M353" i="1"/>
  <c r="M347" i="1"/>
  <c r="M352" i="1"/>
  <c r="M350" i="1"/>
  <c r="M349" i="1"/>
  <c r="M348" i="1"/>
  <c r="M346" i="1"/>
  <c r="M343" i="1"/>
  <c r="M362" i="1"/>
  <c r="M359" i="1"/>
  <c r="M360" i="1"/>
  <c r="M356" i="1"/>
  <c r="M357" i="1"/>
  <c r="M354" i="1"/>
  <c r="M361" i="1"/>
  <c r="M355" i="1"/>
  <c r="M358" i="1"/>
  <c r="M17" i="1"/>
  <c r="M3" i="1"/>
  <c r="M24" i="1"/>
  <c r="M5" i="1"/>
  <c r="M8" i="1"/>
  <c r="M14" i="1"/>
  <c r="M29" i="1"/>
  <c r="M20" i="1"/>
  <c r="M27" i="1"/>
  <c r="M199" i="1"/>
  <c r="M200" i="1"/>
  <c r="M197" i="1"/>
  <c r="M194" i="1"/>
  <c r="M192" i="1"/>
  <c r="M193" i="1"/>
  <c r="M171" i="1"/>
  <c r="M181" i="1"/>
  <c r="M173" i="1"/>
  <c r="M452" i="1"/>
  <c r="M451" i="1"/>
  <c r="M449" i="1"/>
  <c r="M450" i="1"/>
  <c r="M448" i="1"/>
  <c r="M447" i="1"/>
  <c r="M446" i="1"/>
  <c r="M445" i="1"/>
  <c r="M444" i="1"/>
  <c r="M319" i="1"/>
  <c r="M310" i="1"/>
  <c r="M316" i="1"/>
  <c r="M312" i="1"/>
  <c r="M309" i="1"/>
  <c r="M314" i="1"/>
  <c r="M322" i="1"/>
  <c r="M317" i="1"/>
  <c r="M313" i="1"/>
  <c r="M44" i="1"/>
  <c r="M45" i="1"/>
  <c r="M16" i="1"/>
  <c r="M21" i="1"/>
  <c r="M39" i="1"/>
  <c r="M50" i="1"/>
  <c r="M55" i="1"/>
  <c r="M43" i="1"/>
  <c r="M57" i="1"/>
  <c r="M257" i="1"/>
  <c r="M258" i="1"/>
  <c r="M247" i="1"/>
  <c r="M256" i="1"/>
  <c r="M254" i="1"/>
  <c r="M253" i="1"/>
  <c r="M239" i="1"/>
  <c r="M250" i="1"/>
  <c r="M242" i="1"/>
  <c r="M75" i="1"/>
  <c r="M76" i="1"/>
  <c r="M77" i="1"/>
  <c r="M78" i="1"/>
  <c r="M79" i="1"/>
  <c r="M80" i="1"/>
  <c r="M81" i="1"/>
  <c r="M82" i="1"/>
  <c r="M83" i="1"/>
  <c r="M410" i="1"/>
  <c r="M412" i="1"/>
  <c r="M408" i="1"/>
  <c r="M409" i="1"/>
  <c r="M414" i="1"/>
  <c r="M416" i="1"/>
  <c r="M411" i="1"/>
  <c r="M415" i="1"/>
  <c r="M413" i="1"/>
  <c r="M226" i="1"/>
  <c r="M228" i="1"/>
  <c r="M220" i="1"/>
  <c r="M224" i="1"/>
  <c r="M222" i="1"/>
  <c r="M218" i="1"/>
  <c r="M223" i="1"/>
  <c r="M225" i="1"/>
  <c r="M221" i="1"/>
  <c r="M204" i="1"/>
  <c r="M206" i="1"/>
  <c r="M215" i="1"/>
  <c r="M213" i="1"/>
  <c r="M217" i="1"/>
  <c r="M219" i="1"/>
  <c r="M205" i="1"/>
  <c r="M216" i="1"/>
  <c r="M214" i="1"/>
  <c r="M400" i="1"/>
  <c r="M401" i="1"/>
  <c r="M399" i="1"/>
  <c r="M403" i="1"/>
  <c r="M402" i="1"/>
  <c r="M404" i="1"/>
  <c r="M405" i="1"/>
  <c r="M406" i="1"/>
  <c r="M407" i="1"/>
  <c r="M42" i="1"/>
  <c r="M18" i="1"/>
  <c r="M34" i="1"/>
  <c r="M30" i="1"/>
  <c r="M31" i="1"/>
  <c r="M33" i="1"/>
  <c r="M35" i="1"/>
  <c r="M15" i="1"/>
  <c r="M25" i="1"/>
  <c r="M386" i="1"/>
  <c r="M376" i="1"/>
  <c r="M372" i="1"/>
  <c r="M382" i="1"/>
  <c r="M381" i="1"/>
  <c r="M378" i="1"/>
  <c r="M377" i="1"/>
  <c r="M375" i="1"/>
  <c r="M373" i="1"/>
  <c r="M438" i="1"/>
  <c r="M442" i="1"/>
  <c r="M440" i="1"/>
  <c r="M441" i="1"/>
  <c r="M439" i="1"/>
  <c r="M435" i="1"/>
  <c r="M436" i="1"/>
  <c r="M437" i="1"/>
  <c r="M443" i="1"/>
  <c r="M141" i="1"/>
  <c r="M139" i="1"/>
  <c r="M138" i="1"/>
  <c r="M140" i="1"/>
  <c r="M144" i="1"/>
  <c r="M145" i="1"/>
  <c r="M146" i="1"/>
  <c r="M143" i="1"/>
  <c r="M142" i="1"/>
  <c r="M368" i="1"/>
  <c r="M364" i="1"/>
  <c r="M370" i="1"/>
  <c r="M371" i="1"/>
  <c r="M369" i="1"/>
  <c r="M367" i="1"/>
  <c r="M366" i="1"/>
  <c r="M365" i="1"/>
  <c r="M363" i="1"/>
  <c r="M94" i="1"/>
  <c r="M95" i="1"/>
  <c r="M86" i="1"/>
  <c r="M89" i="1"/>
  <c r="M99" i="1"/>
  <c r="M100" i="1"/>
  <c r="M88" i="1"/>
  <c r="M101" i="1"/>
  <c r="M102" i="1"/>
  <c r="M178" i="1"/>
  <c r="M179" i="1"/>
  <c r="M175" i="1"/>
  <c r="M163" i="1"/>
  <c r="M169" i="1"/>
  <c r="M159" i="1"/>
  <c r="M162" i="1"/>
  <c r="M158" i="1"/>
  <c r="M151" i="1"/>
  <c r="M129" i="1"/>
  <c r="M137" i="1"/>
  <c r="M125" i="1"/>
  <c r="M128" i="1"/>
  <c r="M133" i="1"/>
  <c r="M130" i="1"/>
  <c r="M136" i="1"/>
  <c r="M134" i="1"/>
  <c r="M135" i="1"/>
  <c r="M56" i="1"/>
  <c r="M71" i="1"/>
  <c r="M72" i="1"/>
  <c r="M59" i="1"/>
  <c r="M60" i="1"/>
  <c r="M67" i="1"/>
  <c r="M70" i="1"/>
  <c r="M73" i="1"/>
  <c r="M74" i="1"/>
  <c r="M286" i="1"/>
  <c r="M294" i="1"/>
  <c r="M289" i="1"/>
  <c r="M295" i="1"/>
  <c r="M290" i="1"/>
  <c r="M298" i="1"/>
  <c r="M297" i="1"/>
  <c r="M296" i="1"/>
  <c r="M300" i="1"/>
  <c r="M147" i="1"/>
  <c r="M160" i="1"/>
  <c r="M166" i="1"/>
  <c r="M154" i="1"/>
  <c r="M186" i="1"/>
  <c r="M185" i="1"/>
  <c r="M174" i="1"/>
  <c r="M190" i="1"/>
  <c r="M198" i="1"/>
  <c r="M264" i="1"/>
  <c r="M273" i="1"/>
  <c r="M271" i="1"/>
  <c r="M275" i="1"/>
  <c r="M274" i="1"/>
  <c r="M268" i="1"/>
  <c r="M270" i="1"/>
  <c r="M281" i="1"/>
  <c r="M277" i="1"/>
  <c r="M374" i="1"/>
  <c r="M379" i="1"/>
  <c r="M380" i="1"/>
  <c r="M383" i="1"/>
  <c r="M384" i="1"/>
  <c r="M389" i="1"/>
  <c r="M395" i="1"/>
  <c r="M397" i="1"/>
  <c r="M398" i="1"/>
  <c r="M344" i="1"/>
  <c r="M345" i="1"/>
  <c r="M342" i="1"/>
  <c r="M341" i="1"/>
  <c r="M340" i="1"/>
  <c r="M337" i="1"/>
  <c r="M336" i="1"/>
  <c r="M334" i="1"/>
  <c r="M338" i="1"/>
  <c r="M306" i="1"/>
  <c r="M305" i="1"/>
  <c r="M308" i="1"/>
  <c r="M307" i="1"/>
  <c r="M304" i="1"/>
  <c r="M303" i="1"/>
  <c r="M301" i="1"/>
  <c r="M302" i="1"/>
  <c r="M299" i="1"/>
  <c r="M84" i="1"/>
  <c r="M85" i="1"/>
  <c r="M87" i="1"/>
  <c r="M91" i="1"/>
  <c r="M93" i="1"/>
  <c r="M92" i="1"/>
  <c r="M97" i="1"/>
  <c r="M98" i="1"/>
  <c r="M96" i="1"/>
  <c r="M237" i="1"/>
  <c r="M243" i="1"/>
  <c r="M241" i="1"/>
  <c r="M251" i="1"/>
  <c r="M240" i="1"/>
  <c r="M244" i="1"/>
  <c r="M255" i="1"/>
  <c r="M252" i="1"/>
  <c r="M249" i="1"/>
  <c r="M227" i="1"/>
  <c r="M229" i="1"/>
  <c r="M234" i="1"/>
  <c r="M230" i="1"/>
  <c r="M232" i="1"/>
  <c r="M235" i="1"/>
  <c r="M233" i="1"/>
  <c r="M231" i="1"/>
  <c r="M236" i="1"/>
  <c r="M156" i="1"/>
  <c r="M164" i="1"/>
  <c r="M170" i="1"/>
  <c r="M161" i="1"/>
  <c r="M155" i="1"/>
  <c r="M180" i="1"/>
  <c r="M168" i="1"/>
  <c r="M167" i="1"/>
  <c r="M177" i="1"/>
  <c r="M150" i="1"/>
  <c r="M152" i="1"/>
  <c r="M183" i="1"/>
  <c r="M153" i="1"/>
  <c r="M188" i="1"/>
  <c r="M196" i="1"/>
  <c r="M182" i="1"/>
  <c r="M191" i="1"/>
  <c r="M195" i="1"/>
  <c r="M326" i="1"/>
  <c r="M315" i="1"/>
  <c r="M311" i="1"/>
  <c r="M320" i="1"/>
  <c r="M325" i="1"/>
  <c r="M321" i="1"/>
  <c r="M318" i="1"/>
  <c r="M335" i="1"/>
  <c r="M331" i="1"/>
  <c r="M417" i="1"/>
  <c r="M419" i="1"/>
  <c r="M418" i="1"/>
  <c r="M420" i="1"/>
  <c r="M421" i="1"/>
  <c r="M423" i="1"/>
  <c r="M422" i="1"/>
  <c r="M424" i="1"/>
  <c r="M425" i="1"/>
  <c r="M112" i="1"/>
  <c r="M115" i="1"/>
  <c r="M116" i="1"/>
  <c r="M111" i="1"/>
  <c r="M121" i="1"/>
  <c r="M120" i="1"/>
  <c r="M119" i="1"/>
  <c r="M118" i="1"/>
  <c r="M117" i="1"/>
  <c r="M108" i="1"/>
  <c r="M110" i="1"/>
  <c r="M109" i="1"/>
  <c r="M107" i="1"/>
  <c r="M106" i="1"/>
  <c r="M105" i="1"/>
  <c r="M104" i="1"/>
  <c r="M103" i="1"/>
  <c r="M90" i="1"/>
  <c r="M385" i="1"/>
  <c r="M388" i="1"/>
  <c r="M393" i="1"/>
  <c r="M387" i="1"/>
  <c r="M394" i="1"/>
  <c r="M390" i="1"/>
  <c r="M392" i="1"/>
  <c r="M391" i="1"/>
  <c r="M396" i="1"/>
  <c r="M434" i="1"/>
  <c r="M433" i="1"/>
  <c r="M431" i="1"/>
  <c r="M432" i="1"/>
  <c r="M430" i="1"/>
  <c r="M427" i="1"/>
  <c r="M429" i="1"/>
  <c r="M428" i="1"/>
  <c r="M426" i="1"/>
  <c r="M41" i="1"/>
  <c r="M40" i="1"/>
  <c r="M38" i="1"/>
  <c r="M36" i="1"/>
  <c r="M32" i="1"/>
  <c r="M28" i="1"/>
  <c r="M26" i="1"/>
  <c r="M22" i="1"/>
  <c r="M23" i="1"/>
  <c r="M69" i="1"/>
  <c r="M68" i="1"/>
  <c r="M66" i="1"/>
  <c r="M65" i="1"/>
  <c r="M64" i="1"/>
  <c r="M63" i="1"/>
  <c r="M62" i="1"/>
  <c r="M61" i="1"/>
  <c r="M58" i="1"/>
  <c r="M202" i="1"/>
  <c r="M203" i="1"/>
  <c r="M207" i="1"/>
  <c r="M212" i="1"/>
  <c r="M211" i="1"/>
  <c r="M210" i="1"/>
  <c r="M209" i="1"/>
  <c r="M208" i="1"/>
  <c r="M201" i="1"/>
  <c r="M279" i="1"/>
  <c r="M280" i="1"/>
  <c r="M278" i="1"/>
  <c r="M272" i="1"/>
  <c r="M276" i="1"/>
  <c r="M267" i="1"/>
  <c r="M269" i="1"/>
  <c r="M265" i="1"/>
  <c r="M266" i="1"/>
  <c r="M459" i="1"/>
  <c r="M461" i="1"/>
  <c r="M460" i="1"/>
  <c r="M458" i="1"/>
  <c r="M457" i="1"/>
  <c r="M456" i="1"/>
  <c r="M455" i="1"/>
  <c r="M454" i="1"/>
  <c r="M453" i="1"/>
  <c r="M165" i="1"/>
  <c r="M149" i="1"/>
  <c r="M157" i="1"/>
  <c r="M148" i="1"/>
  <c r="M176" i="1"/>
  <c r="M172" i="1"/>
  <c r="M184" i="1"/>
  <c r="M189" i="1"/>
  <c r="M187" i="1"/>
  <c r="M339" i="1"/>
  <c r="M327" i="1"/>
  <c r="M330" i="1"/>
  <c r="M333" i="1"/>
  <c r="M332" i="1"/>
  <c r="M329" i="1"/>
  <c r="M323" i="1"/>
  <c r="M324" i="1"/>
  <c r="M328" i="1"/>
  <c r="M49" i="1"/>
  <c r="M52" i="1"/>
  <c r="M48" i="1"/>
  <c r="M37" i="1"/>
  <c r="M53" i="1"/>
  <c r="M46" i="1"/>
  <c r="M47" i="1"/>
  <c r="M51" i="1"/>
  <c r="M54" i="1"/>
  <c r="M248" i="1"/>
  <c r="M245" i="1"/>
  <c r="M238" i="1"/>
  <c r="M246" i="1"/>
  <c r="M259" i="1"/>
  <c r="M263" i="1"/>
  <c r="M262" i="1"/>
  <c r="M261" i="1"/>
  <c r="M260" i="1"/>
  <c r="E14" i="4" l="1"/>
  <c r="E15" i="4" s="1"/>
  <c r="G14" i="4"/>
  <c r="G15" i="4" s="1"/>
  <c r="C14" i="4"/>
  <c r="C15" i="4" s="1"/>
  <c r="D14" i="4"/>
  <c r="D15" i="4" s="1"/>
  <c r="F14" i="4"/>
  <c r="F15" i="4" s="1"/>
</calcChain>
</file>

<file path=xl/sharedStrings.xml><?xml version="1.0" encoding="utf-8"?>
<sst xmlns="http://schemas.openxmlformats.org/spreadsheetml/2006/main" count="525" uniqueCount="92">
  <si>
    <t>US Census</t>
  </si>
  <si>
    <t>Influenza Deaths</t>
  </si>
  <si>
    <t>State</t>
  </si>
  <si>
    <t>Year</t>
  </si>
  <si>
    <t xml:space="preserve"> (0-64 years)</t>
  </si>
  <si>
    <t>(65+ years)</t>
  </si>
  <si>
    <t xml:space="preserve"> total population</t>
  </si>
  <si>
    <t xml:space="preserve"> (65+ years)</t>
  </si>
  <si>
    <t>Total Deaths</t>
  </si>
  <si>
    <t>Total death rate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</si>
  <si>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</si>
  <si>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</si>
  <si>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</si>
  <si>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</si>
  <si>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</si>
  <si>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</si>
  <si>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</si>
  <si>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</si>
  <si>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</si>
  <si>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</si>
  <si>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</si>
  <si>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</si>
  <si>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</si>
  <si>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</si>
  <si>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</si>
  <si>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</si>
  <si>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</si>
  <si>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</si>
  <si>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</si>
  <si>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</si>
  <si>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</si>
  <si>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</si>
  <si>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</si>
  <si>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</si>
  <si>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</si>
  <si>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</si>
  <si>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</si>
  <si>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</si>
  <si>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</si>
  <si>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</si>
  <si>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</si>
  <si>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</si>
  <si>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</si>
  <si>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</si>
  <si>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</si>
  <si>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</si>
  <si>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</si>
  <si>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</si>
  <si>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</si>
  <si>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</si>
  <si>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</si>
  <si>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</si>
  <si>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</si>
  <si>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</si>
  <si>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</si>
  <si>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</si>
  <si>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</si>
  <si>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</si>
  <si>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</si>
  <si>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</si>
  <si>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</si>
  <si>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Dataset Name</t>
  </si>
  <si>
    <t>Sample or Population</t>
  </si>
  <si>
    <t>Variance</t>
  </si>
  <si>
    <t>Standard Deviation</t>
  </si>
  <si>
    <t>Mean</t>
  </si>
  <si>
    <t>Outlier Percentage</t>
  </si>
  <si>
    <t>Integrated Data Set</t>
  </si>
  <si>
    <t>Sample</t>
  </si>
  <si>
    <t>Variables</t>
  </si>
  <si>
    <t>Proposed Relationship</t>
  </si>
  <si>
    <t>Correlation Coefficient</t>
  </si>
  <si>
    <t>Strenght of Correlation</t>
  </si>
  <si>
    <t>Usefulness / Interpretation</t>
  </si>
  <si>
    <t>Median</t>
  </si>
  <si>
    <t>Two Standard Deviations</t>
  </si>
  <si>
    <t>Outlier Counts</t>
  </si>
  <si>
    <t>Hypothesis:</t>
  </si>
  <si>
    <t>Normalization Influenza Death</t>
  </si>
  <si>
    <t>Normalization population</t>
  </si>
  <si>
    <t>(0-64 years)</t>
  </si>
  <si>
    <t>If the size of the vulnerable population (patient is older than 65 years old) increases, then the risk of mortality increases.</t>
  </si>
  <si>
    <t>DATA SPREAD</t>
  </si>
  <si>
    <t>CORRELATION</t>
  </si>
  <si>
    <t>Distribution</t>
  </si>
  <si>
    <t>Population</t>
  </si>
  <si>
    <t>Normal Distribution</t>
  </si>
  <si>
    <t>total deaths</t>
  </si>
  <si>
    <t>strong positive correlation</t>
  </si>
  <si>
    <t>when the population increases, the deaths increases.</t>
  </si>
  <si>
    <t xml:space="preserve"> vulnerable population (65+ years) - Total Deaths</t>
  </si>
  <si>
    <t xml:space="preserve">The vulnerable population (65+) have a high influenza death rate.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</si>
</sst>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6" borderId="1" xfId="0" applyFont="1" applyFill="1" applyBorder="1"/>
    <xf numFmtId="0" fontId="1" fillId="6" borderId="0" xfId="0" applyFont="1" applyFill="1"/>
    <xf numFmtId="0" fontId="1" fillId="6" borderId="2" xfId="0" applyFont="1" applyFill="1" applyBorder="1"/>
    <xf numFmtId="0" fontId="1" fillId="7" borderId="1" xfId="0" applyFont="1" applyFill="1" applyBorder="1"/>
    <xf numFmtId="0" fontId="1" fillId="7" borderId="0" xfId="0" applyFont="1" applyFill="1"/>
    <xf numFmtId="0" fontId="1" fillId="7" borderId="2" xfId="0" applyFont="1" applyFill="1" applyBorder="1"/>
    <xf numFmtId="10" fontId="1" fillId="8" borderId="1" xfId="0" applyNumberFormat="1" applyFont="1" applyFill="1" applyBorder="1"/>
    <xf numFmtId="10" fontId="1" fillId="8" borderId="2" xfId="0" applyNumberFormat="1" applyFont="1" applyFill="1" applyBorder="1"/>
    <xf numFmtId="0" fontId="0" fillId="0" borderId="2" xfId="0" applyBorder="1"/>
    <xf numFmtId="0" fontId="0" fillId="0" borderId="1" xfId="0" applyBorder="1"/>
    <xf numFmtId="10" fontId="0" fillId="0" borderId="1" xfId="0" applyNumberFormat="1" applyBorder="1"/>
    <xf numFmtId="10" fontId="0" fillId="0" borderId="0" xfId="0" applyNumberFormat="1"/>
    <xf numFmtId="10" fontId="0" fillId="0" borderId="2" xfId="0" applyNumberFormat="1" applyBorder="1"/>
    <xf numFmtId="0" fontId="1" fillId="7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164" fontId="0" fillId="0" borderId="1" xfId="0" applyNumberFormat="1" applyBorder="1"/>
    <xf numFmtId="1" fontId="0" fillId="0" borderId="2" xfId="0" applyNumberForma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10" fontId="1" fillId="10" borderId="0" xfId="0" applyNumberFormat="1" applyFont="1" applyFill="1"/>
    <xf numFmtId="0" fontId="1" fillId="10" borderId="0" xfId="0" applyFont="1" applyFill="1"/>
    <xf numFmtId="0" fontId="1" fillId="12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 wrapText="1"/>
    </xf>
    <xf numFmtId="165" fontId="0" fillId="0" borderId="8" xfId="1" applyNumberFormat="1" applyFont="1" applyBorder="1" applyAlignment="1">
      <alignment horizontal="center"/>
    </xf>
    <xf numFmtId="0" fontId="0" fillId="9" borderId="3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1" fillId="12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1" fillId="8" borderId="0" xfId="0" applyNumberFormat="1" applyFont="1" applyFill="1"/>
    <xf numFmtId="2" fontId="0" fillId="0" borderId="0" xfId="0" applyNumberFormat="1"/>
    <xf numFmtId="43" fontId="0" fillId="0" borderId="7" xfId="2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9" borderId="12" xfId="0" applyFont="1" applyFill="1" applyBorder="1" applyAlignment="1">
      <alignment vertical="center"/>
    </xf>
    <xf numFmtId="0" fontId="2" fillId="9" borderId="13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10" fontId="1" fillId="5" borderId="1" xfId="0" applyNumberFormat="1" applyFont="1" applyFill="1" applyBorder="1" applyAlignment="1">
      <alignment horizontal="center"/>
    </xf>
    <xf numFmtId="10" fontId="1" fillId="5" borderId="0" xfId="0" applyNumberFormat="1" applyFont="1" applyFill="1" applyAlignment="1">
      <alignment horizontal="center"/>
    </xf>
    <xf numFmtId="10" fontId="1" fillId="5" borderId="2" xfId="0" applyNumberFormat="1" applyFont="1" applyFill="1" applyBorder="1" applyAlignment="1">
      <alignment horizontal="center"/>
    </xf>
    <xf numFmtId="10" fontId="4" fillId="11" borderId="1" xfId="0" applyNumberFormat="1" applyFont="1" applyFill="1" applyBorder="1" applyAlignment="1">
      <alignment horizontal="center"/>
    </xf>
    <xf numFmtId="10" fontId="4" fillId="11" borderId="0" xfId="0" applyNumberFormat="1" applyFont="1" applyFill="1" applyAlignment="1">
      <alignment horizontal="center"/>
    </xf>
    <xf numFmtId="0" fontId="2" fillId="9" borderId="5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0" fontId="1" fillId="10" borderId="3" xfId="0" applyNumberFormat="1" applyFont="1" applyFill="1" applyBorder="1" applyAlignment="1">
      <alignment horizontal="center"/>
    </xf>
    <xf numFmtId="10" fontId="1" fillId="10" borderId="11" xfId="0" applyNumberFormat="1" applyFont="1" applyFill="1" applyBorder="1" applyAlignment="1">
      <alignment horizontal="center"/>
    </xf>
    <xf numFmtId="10" fontId="1" fillId="10" borderId="4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AA2EE4-4058-483F-B9EF-6B347C4784DC}">
  <we:reference id="wa200001584" version="3.0.1.5" store="en-US" storeType="OMEX"/>
  <we:alternateReferences>
    <we:reference id="wa200001584" version="3.0.1.5" store="wa20000158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073F-1742-47F6-AD5D-36DE40DB78A4}">
  <dimension ref="A1:M463"/>
  <sheetViews>
    <sheetView zoomScale="144" workbookViewId="0">
      <selection activeCell="C470" sqref="C470"/>
    </sheetView>
  </sheetViews>
  <sheetFormatPr defaultRowHeight="14.4" x14ac:dyDescent="0.3"/>
  <cols>
    <col min="1" max="1" width="16.77734375" bestFit="1" customWidth="1"/>
    <col min="2" max="2" width="5" bestFit="1" customWidth="1"/>
    <col min="3" max="3" width="12.5546875" bestFit="1" customWidth="1"/>
    <col min="4" max="4" width="12" bestFit="1" customWidth="1"/>
    <col min="5" max="5" width="14.6640625" bestFit="1" customWidth="1"/>
    <col min="6" max="6" width="11.109375" bestFit="1" customWidth="1"/>
    <col min="7" max="7" width="10.44140625" bestFit="1" customWidth="1"/>
    <col min="8" max="8" width="11.21875" bestFit="1" customWidth="1"/>
    <col min="9" max="10" width="11.21875" style="15" customWidth="1"/>
    <col min="11" max="11" width="11.109375" bestFit="1" customWidth="1"/>
    <col min="12" max="12" width="10.44140625" style="39" bestFit="1" customWidth="1"/>
    <col min="13" max="13" width="14" bestFit="1" customWidth="1"/>
  </cols>
  <sheetData>
    <row r="1" spans="1:13" x14ac:dyDescent="0.3">
      <c r="A1" s="1"/>
      <c r="B1" s="1"/>
      <c r="C1" s="45" t="s">
        <v>0</v>
      </c>
      <c r="D1" s="46"/>
      <c r="E1" s="47"/>
      <c r="F1" s="48" t="s">
        <v>1</v>
      </c>
      <c r="G1" s="49"/>
      <c r="H1" s="50"/>
      <c r="I1" s="54" t="s">
        <v>79</v>
      </c>
      <c r="J1" s="55"/>
      <c r="K1" s="51" t="s">
        <v>78</v>
      </c>
      <c r="L1" s="52"/>
      <c r="M1" s="53"/>
    </row>
    <row r="2" spans="1:13" x14ac:dyDescent="0.3">
      <c r="A2" s="2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4</v>
      </c>
      <c r="G2" s="8" t="s">
        <v>7</v>
      </c>
      <c r="H2" s="9" t="s">
        <v>8</v>
      </c>
      <c r="I2" s="26" t="s">
        <v>80</v>
      </c>
      <c r="J2" s="27" t="s">
        <v>7</v>
      </c>
      <c r="K2" s="10" t="s">
        <v>4</v>
      </c>
      <c r="L2" s="38" t="s">
        <v>7</v>
      </c>
      <c r="M2" s="11" t="s">
        <v>9</v>
      </c>
    </row>
    <row r="3" spans="1:13" x14ac:dyDescent="0.3">
      <c r="A3" t="s">
        <v>55</v>
      </c>
      <c r="B3" s="12">
        <v>2016</v>
      </c>
      <c r="C3" s="13">
        <v>417526.63300000003</v>
      </c>
      <c r="D3">
        <v>84887.737000000008</v>
      </c>
      <c r="E3" s="12">
        <v>502438</v>
      </c>
      <c r="F3" s="13">
        <v>441</v>
      </c>
      <c r="G3">
        <v>156</v>
      </c>
      <c r="H3" s="12">
        <v>597</v>
      </c>
      <c r="I3" s="15">
        <f t="shared" ref="I3:I66" si="0">C3/E3</f>
        <v>0.83100130364343472</v>
      </c>
      <c r="J3" s="15">
        <f t="shared" ref="J3:J66" si="1">D3/E3</f>
        <v>0.16895166567815334</v>
      </c>
      <c r="K3" s="14">
        <f t="shared" ref="K3:K5" si="2">F3/E3</f>
        <v>8.7772023612863674E-4</v>
      </c>
      <c r="L3" s="14">
        <f t="shared" ref="L3:L6" si="3">G3/E3</f>
        <v>3.104860699230552E-4</v>
      </c>
      <c r="M3" s="16">
        <f t="shared" ref="M3:M66" si="4">H3/E3</f>
        <v>1.188206306051692E-3</v>
      </c>
    </row>
    <row r="4" spans="1:13" x14ac:dyDescent="0.3">
      <c r="A4" t="s">
        <v>60</v>
      </c>
      <c r="B4" s="12">
        <v>2016</v>
      </c>
      <c r="C4" s="13">
        <v>419156.46400000004</v>
      </c>
      <c r="D4">
        <v>71203.47</v>
      </c>
      <c r="E4" s="12">
        <v>490148</v>
      </c>
      <c r="F4" s="13">
        <v>447</v>
      </c>
      <c r="G4">
        <v>171</v>
      </c>
      <c r="H4" s="12">
        <v>618</v>
      </c>
      <c r="I4" s="15">
        <f t="shared" si="0"/>
        <v>0.85516306095301831</v>
      </c>
      <c r="J4" s="15">
        <f t="shared" si="1"/>
        <v>0.14526932681557408</v>
      </c>
      <c r="K4" s="14">
        <f t="shared" si="2"/>
        <v>9.1196944596326002E-4</v>
      </c>
      <c r="L4" s="14">
        <f t="shared" si="3"/>
        <v>3.4887421758326054E-4</v>
      </c>
      <c r="M4" s="16">
        <f t="shared" si="4"/>
        <v>1.2608436635465207E-3</v>
      </c>
    </row>
    <row r="5" spans="1:13" x14ac:dyDescent="0.3">
      <c r="A5" t="s">
        <v>55</v>
      </c>
      <c r="B5" s="12">
        <v>2014</v>
      </c>
      <c r="C5" s="13">
        <v>424929.72699999996</v>
      </c>
      <c r="D5">
        <v>77154.660999999993</v>
      </c>
      <c r="E5" s="12">
        <v>501606</v>
      </c>
      <c r="F5" s="13">
        <v>421</v>
      </c>
      <c r="G5">
        <v>167</v>
      </c>
      <c r="H5" s="12">
        <v>588</v>
      </c>
      <c r="I5" s="15">
        <f t="shared" si="0"/>
        <v>0.84713844531365246</v>
      </c>
      <c r="J5" s="15">
        <f t="shared" si="1"/>
        <v>0.15381526736123569</v>
      </c>
      <c r="K5" s="14">
        <f t="shared" si="2"/>
        <v>8.3930415505396665E-4</v>
      </c>
      <c r="L5" s="14">
        <f t="shared" si="3"/>
        <v>3.3293062682663286E-4</v>
      </c>
      <c r="M5" s="16">
        <f t="shared" si="4"/>
        <v>1.1722347818805994E-3</v>
      </c>
    </row>
    <row r="6" spans="1:13" x14ac:dyDescent="0.3">
      <c r="A6" t="s">
        <v>60</v>
      </c>
      <c r="B6" s="12">
        <v>2013</v>
      </c>
      <c r="C6" s="13">
        <v>435506.01199999993</v>
      </c>
      <c r="D6">
        <v>63655.091</v>
      </c>
      <c r="E6" s="12">
        <v>498694</v>
      </c>
      <c r="F6" s="13">
        <v>406</v>
      </c>
      <c r="G6">
        <v>161</v>
      </c>
      <c r="H6" s="12">
        <v>567</v>
      </c>
      <c r="I6" s="15">
        <f t="shared" si="0"/>
        <v>0.87329306548705199</v>
      </c>
      <c r="J6" s="15">
        <f t="shared" si="1"/>
        <v>0.12764358704937295</v>
      </c>
      <c r="K6" s="14">
        <f>F6/E6</f>
        <v>8.1412649841385704E-4</v>
      </c>
      <c r="L6" s="14">
        <f t="shared" si="3"/>
        <v>3.2284326661239157E-4</v>
      </c>
      <c r="M6" s="16">
        <f t="shared" si="4"/>
        <v>1.1369697650262486E-3</v>
      </c>
    </row>
    <row r="7" spans="1:13" x14ac:dyDescent="0.3">
      <c r="A7" t="s">
        <v>60</v>
      </c>
      <c r="B7" s="12">
        <v>2015</v>
      </c>
      <c r="C7" s="13">
        <v>438481.26999999996</v>
      </c>
      <c r="D7">
        <v>72042.31</v>
      </c>
      <c r="E7" s="12">
        <v>510198</v>
      </c>
      <c r="F7" s="13">
        <v>415</v>
      </c>
      <c r="G7">
        <v>175</v>
      </c>
      <c r="H7" s="12">
        <v>590</v>
      </c>
      <c r="I7" s="15">
        <f t="shared" si="0"/>
        <v>0.85943353364772102</v>
      </c>
      <c r="J7" s="15">
        <f t="shared" si="1"/>
        <v>0.14120461075896024</v>
      </c>
      <c r="K7" s="14">
        <f t="shared" ref="K7:K70" si="5">F7/E7</f>
        <v>8.1340969584357446E-4</v>
      </c>
      <c r="L7" s="14">
        <f>G7/E7</f>
        <v>3.4300408860873623E-4</v>
      </c>
      <c r="M7" s="16">
        <f t="shared" si="4"/>
        <v>1.1564137844523106E-3</v>
      </c>
    </row>
    <row r="8" spans="1:13" x14ac:dyDescent="0.3">
      <c r="A8" t="s">
        <v>55</v>
      </c>
      <c r="B8" s="12">
        <v>2013</v>
      </c>
      <c r="C8" s="13">
        <v>453843.12800000008</v>
      </c>
      <c r="D8">
        <v>79623.159</v>
      </c>
      <c r="E8" s="12">
        <v>533260</v>
      </c>
      <c r="F8" s="13">
        <v>394</v>
      </c>
      <c r="G8">
        <v>150</v>
      </c>
      <c r="H8" s="12">
        <v>544</v>
      </c>
      <c r="I8" s="15">
        <f t="shared" si="0"/>
        <v>0.85107288752203447</v>
      </c>
      <c r="J8" s="15">
        <f t="shared" si="1"/>
        <v>0.14931395379364662</v>
      </c>
      <c r="K8" s="14">
        <f t="shared" si="5"/>
        <v>7.3885159209391297E-4</v>
      </c>
      <c r="L8" s="14">
        <f t="shared" ref="L8:L71" si="6">G8/E8</f>
        <v>2.8128867719311407E-4</v>
      </c>
      <c r="M8" s="16">
        <f t="shared" si="4"/>
        <v>1.020140269287027E-3</v>
      </c>
    </row>
    <row r="9" spans="1:13" x14ac:dyDescent="0.3">
      <c r="A9" t="s">
        <v>60</v>
      </c>
      <c r="B9" s="12">
        <v>2009</v>
      </c>
      <c r="C9" s="13">
        <v>457102.01399999997</v>
      </c>
      <c r="D9">
        <v>62485.839999999989</v>
      </c>
      <c r="E9" s="12">
        <v>519426</v>
      </c>
      <c r="F9" s="13">
        <v>431</v>
      </c>
      <c r="G9">
        <v>165</v>
      </c>
      <c r="H9" s="12">
        <v>596</v>
      </c>
      <c r="I9" s="15">
        <f t="shared" si="0"/>
        <v>0.88001373439142427</v>
      </c>
      <c r="J9" s="15">
        <f t="shared" si="1"/>
        <v>0.12029786726116903</v>
      </c>
      <c r="K9" s="14">
        <f t="shared" si="5"/>
        <v>8.297620835306666E-4</v>
      </c>
      <c r="L9" s="14">
        <f t="shared" si="6"/>
        <v>3.1765833824259855E-4</v>
      </c>
      <c r="M9" s="16">
        <f t="shared" si="4"/>
        <v>1.1474204217732651E-3</v>
      </c>
    </row>
    <row r="10" spans="1:13" x14ac:dyDescent="0.3">
      <c r="A10" t="s">
        <v>60</v>
      </c>
      <c r="B10" s="12">
        <v>2017</v>
      </c>
      <c r="C10" s="13">
        <v>465297</v>
      </c>
      <c r="D10">
        <v>76396</v>
      </c>
      <c r="E10" s="12">
        <v>541693</v>
      </c>
      <c r="F10" s="13">
        <v>398</v>
      </c>
      <c r="G10">
        <v>167</v>
      </c>
      <c r="H10" s="12">
        <v>565</v>
      </c>
      <c r="I10" s="15">
        <f t="shared" si="0"/>
        <v>0.8589680870899199</v>
      </c>
      <c r="J10" s="15">
        <f t="shared" si="1"/>
        <v>0.14103191291008008</v>
      </c>
      <c r="K10" s="14">
        <f t="shared" si="5"/>
        <v>7.3473351141698342E-4</v>
      </c>
      <c r="L10" s="14">
        <f t="shared" si="6"/>
        <v>3.0829270453928699E-4</v>
      </c>
      <c r="M10" s="16">
        <f t="shared" si="4"/>
        <v>1.0430262159562705E-3</v>
      </c>
    </row>
    <row r="11" spans="1:13" x14ac:dyDescent="0.3">
      <c r="A11" t="s">
        <v>60</v>
      </c>
      <c r="B11" s="12">
        <v>2011</v>
      </c>
      <c r="C11" s="13">
        <v>467172.505</v>
      </c>
      <c r="D11">
        <v>63960.849999999991</v>
      </c>
      <c r="E11" s="12">
        <v>530679</v>
      </c>
      <c r="F11" s="13">
        <v>464</v>
      </c>
      <c r="G11">
        <v>194</v>
      </c>
      <c r="H11" s="12">
        <v>658</v>
      </c>
      <c r="I11" s="15">
        <f t="shared" si="0"/>
        <v>0.88032973793950775</v>
      </c>
      <c r="J11" s="15">
        <f t="shared" si="1"/>
        <v>0.1205264387699532</v>
      </c>
      <c r="K11" s="14">
        <f t="shared" si="5"/>
        <v>8.7435153831223777E-4</v>
      </c>
      <c r="L11" s="14">
        <f t="shared" si="6"/>
        <v>3.6556939317365113E-4</v>
      </c>
      <c r="M11" s="16">
        <f t="shared" si="4"/>
        <v>1.2399209314858889E-3</v>
      </c>
    </row>
    <row r="12" spans="1:13" x14ac:dyDescent="0.3">
      <c r="A12" t="s">
        <v>60</v>
      </c>
      <c r="B12" s="12">
        <v>2010</v>
      </c>
      <c r="C12" s="13">
        <v>468380.49199999997</v>
      </c>
      <c r="D12">
        <v>69161.872000000003</v>
      </c>
      <c r="E12" s="12">
        <v>537671</v>
      </c>
      <c r="F12" s="13">
        <v>403</v>
      </c>
      <c r="G12">
        <v>154</v>
      </c>
      <c r="H12" s="12">
        <v>557</v>
      </c>
      <c r="I12" s="15">
        <f t="shared" si="0"/>
        <v>0.87112842611931829</v>
      </c>
      <c r="J12" s="15">
        <f t="shared" si="1"/>
        <v>0.12863232720381051</v>
      </c>
      <c r="K12" s="14">
        <f t="shared" si="5"/>
        <v>7.4952898705714084E-4</v>
      </c>
      <c r="L12" s="14">
        <f t="shared" si="6"/>
        <v>2.8642050622034663E-4</v>
      </c>
      <c r="M12" s="16">
        <f t="shared" si="4"/>
        <v>1.0359494932774876E-3</v>
      </c>
    </row>
    <row r="13" spans="1:13" x14ac:dyDescent="0.3">
      <c r="A13" t="s">
        <v>60</v>
      </c>
      <c r="B13" s="12">
        <v>2014</v>
      </c>
      <c r="C13" s="13">
        <v>471726.00199999998</v>
      </c>
      <c r="D13">
        <v>69862.421000000002</v>
      </c>
      <c r="E13" s="12">
        <v>541702</v>
      </c>
      <c r="F13" s="13">
        <v>422</v>
      </c>
      <c r="G13">
        <v>188</v>
      </c>
      <c r="H13" s="12">
        <v>610</v>
      </c>
      <c r="I13" s="15">
        <f t="shared" si="0"/>
        <v>0.87082196853620619</v>
      </c>
      <c r="J13" s="15">
        <f t="shared" si="1"/>
        <v>0.12896836452514482</v>
      </c>
      <c r="K13" s="14">
        <f t="shared" si="5"/>
        <v>7.7902610660473843E-4</v>
      </c>
      <c r="L13" s="14">
        <f t="shared" si="6"/>
        <v>3.4705428445898297E-4</v>
      </c>
      <c r="M13" s="16">
        <f t="shared" si="4"/>
        <v>1.1260803910637213E-3</v>
      </c>
    </row>
    <row r="14" spans="1:13" x14ac:dyDescent="0.3">
      <c r="A14" t="s">
        <v>55</v>
      </c>
      <c r="B14" s="12">
        <v>2012</v>
      </c>
      <c r="C14" s="13">
        <v>474106.5259999999</v>
      </c>
      <c r="D14">
        <v>82794.581000000006</v>
      </c>
      <c r="E14" s="12">
        <v>556475</v>
      </c>
      <c r="F14" s="13">
        <v>439</v>
      </c>
      <c r="G14">
        <v>141</v>
      </c>
      <c r="H14" s="12">
        <v>580</v>
      </c>
      <c r="I14" s="15">
        <f t="shared" si="0"/>
        <v>0.85198171705826842</v>
      </c>
      <c r="J14" s="15">
        <f t="shared" si="1"/>
        <v>0.14878400826631924</v>
      </c>
      <c r="K14" s="14">
        <f t="shared" si="5"/>
        <v>7.8889437980142864E-4</v>
      </c>
      <c r="L14" s="14">
        <f t="shared" si="6"/>
        <v>2.5338065501594859E-4</v>
      </c>
      <c r="M14" s="16">
        <f t="shared" si="4"/>
        <v>1.0422750348173773E-3</v>
      </c>
    </row>
    <row r="15" spans="1:13" x14ac:dyDescent="0.3">
      <c r="A15" t="s">
        <v>44</v>
      </c>
      <c r="B15" s="12">
        <v>2010</v>
      </c>
      <c r="C15" s="13">
        <v>475192.48699999991</v>
      </c>
      <c r="D15">
        <v>82344.636999999988</v>
      </c>
      <c r="E15" s="12">
        <v>557840</v>
      </c>
      <c r="F15" s="13">
        <v>463</v>
      </c>
      <c r="G15">
        <v>190</v>
      </c>
      <c r="H15" s="12">
        <v>653</v>
      </c>
      <c r="I15" s="15">
        <f t="shared" si="0"/>
        <v>0.85184369532482418</v>
      </c>
      <c r="J15" s="15">
        <f t="shared" si="1"/>
        <v>0.14761336046178114</v>
      </c>
      <c r="K15" s="14">
        <f t="shared" si="5"/>
        <v>8.2998709307328261E-4</v>
      </c>
      <c r="L15" s="14">
        <f t="shared" si="6"/>
        <v>3.4059945504087192E-4</v>
      </c>
      <c r="M15" s="16">
        <f t="shared" si="4"/>
        <v>1.1705865481141547E-3</v>
      </c>
    </row>
    <row r="16" spans="1:13" x14ac:dyDescent="0.3">
      <c r="A16" t="s">
        <v>51</v>
      </c>
      <c r="B16" s="12">
        <v>2015</v>
      </c>
      <c r="C16" s="13">
        <v>480821.40899999993</v>
      </c>
      <c r="D16">
        <v>85756.957000000009</v>
      </c>
      <c r="E16" s="12">
        <v>566542</v>
      </c>
      <c r="F16" s="13">
        <v>396</v>
      </c>
      <c r="G16">
        <v>211</v>
      </c>
      <c r="H16" s="12">
        <v>607</v>
      </c>
      <c r="I16" s="15">
        <f t="shared" si="0"/>
        <v>0.84869508174151242</v>
      </c>
      <c r="J16" s="15">
        <f t="shared" si="1"/>
        <v>0.15136910767427658</v>
      </c>
      <c r="K16" s="14">
        <f t="shared" si="5"/>
        <v>6.9897730441873679E-4</v>
      </c>
      <c r="L16" s="14">
        <f t="shared" si="6"/>
        <v>3.7243487684937744E-4</v>
      </c>
      <c r="M16" s="16">
        <f t="shared" si="4"/>
        <v>1.0714121812681143E-3</v>
      </c>
    </row>
    <row r="17" spans="1:13" x14ac:dyDescent="0.3">
      <c r="A17" t="s">
        <v>55</v>
      </c>
      <c r="B17" s="12">
        <v>2017</v>
      </c>
      <c r="C17" s="13">
        <v>486065</v>
      </c>
      <c r="D17">
        <v>102353</v>
      </c>
      <c r="E17" s="12">
        <v>588418</v>
      </c>
      <c r="F17" s="13">
        <v>407</v>
      </c>
      <c r="G17">
        <v>174</v>
      </c>
      <c r="H17" s="12">
        <v>581</v>
      </c>
      <c r="I17" s="15">
        <f t="shared" si="0"/>
        <v>0.82605392765007191</v>
      </c>
      <c r="J17" s="15">
        <f t="shared" si="1"/>
        <v>0.17394607234992812</v>
      </c>
      <c r="K17" s="14">
        <f t="shared" si="5"/>
        <v>6.916851625885E-4</v>
      </c>
      <c r="L17" s="14">
        <f t="shared" si="6"/>
        <v>2.957081530476634E-4</v>
      </c>
      <c r="M17" s="16">
        <f t="shared" si="4"/>
        <v>9.8739331563616351E-4</v>
      </c>
    </row>
    <row r="18" spans="1:13" x14ac:dyDescent="0.3">
      <c r="A18" t="s">
        <v>44</v>
      </c>
      <c r="B18" s="12">
        <v>2016</v>
      </c>
      <c r="C18" s="13">
        <v>488835.44900000002</v>
      </c>
      <c r="D18">
        <v>80753.712</v>
      </c>
      <c r="E18" s="12">
        <v>569318</v>
      </c>
      <c r="F18" s="13">
        <v>420</v>
      </c>
      <c r="G18">
        <v>176</v>
      </c>
      <c r="H18" s="12">
        <v>596</v>
      </c>
      <c r="I18" s="15">
        <f t="shared" si="0"/>
        <v>0.85863339820627493</v>
      </c>
      <c r="J18" s="15">
        <f t="shared" si="1"/>
        <v>0.14184289272427711</v>
      </c>
      <c r="K18" s="14">
        <f t="shared" si="5"/>
        <v>7.3772478649893384E-4</v>
      </c>
      <c r="L18" s="14">
        <f t="shared" si="6"/>
        <v>3.0914181529479129E-4</v>
      </c>
      <c r="M18" s="16">
        <f t="shared" si="4"/>
        <v>1.0468666017937251E-3</v>
      </c>
    </row>
    <row r="19" spans="1:13" x14ac:dyDescent="0.3">
      <c r="A19" t="s">
        <v>60</v>
      </c>
      <c r="B19" s="12">
        <v>2012</v>
      </c>
      <c r="C19" s="13">
        <v>490692.71400000004</v>
      </c>
      <c r="D19">
        <v>68882.876999999993</v>
      </c>
      <c r="E19" s="12">
        <v>560013</v>
      </c>
      <c r="F19" s="13">
        <v>436</v>
      </c>
      <c r="G19">
        <v>140</v>
      </c>
      <c r="H19" s="12">
        <v>576</v>
      </c>
      <c r="I19" s="15">
        <f t="shared" si="0"/>
        <v>0.87621664854208747</v>
      </c>
      <c r="J19" s="15">
        <f t="shared" si="1"/>
        <v>0.12300228208988004</v>
      </c>
      <c r="K19" s="14">
        <f t="shared" si="5"/>
        <v>7.7855335501140154E-4</v>
      </c>
      <c r="L19" s="14">
        <f t="shared" si="6"/>
        <v>2.4999419656329409E-4</v>
      </c>
      <c r="M19" s="16">
        <f t="shared" si="4"/>
        <v>1.0285475515746955E-3</v>
      </c>
    </row>
    <row r="20" spans="1:13" x14ac:dyDescent="0.3">
      <c r="A20" t="s">
        <v>55</v>
      </c>
      <c r="B20" s="12">
        <v>2010</v>
      </c>
      <c r="C20" s="13">
        <v>493227.74300000002</v>
      </c>
      <c r="D20">
        <v>80000.306000000011</v>
      </c>
      <c r="E20" s="12">
        <v>572962</v>
      </c>
      <c r="F20" s="13">
        <v>433</v>
      </c>
      <c r="G20">
        <v>163</v>
      </c>
      <c r="H20" s="12">
        <v>596</v>
      </c>
      <c r="I20" s="15">
        <f t="shared" si="0"/>
        <v>0.86083849016165126</v>
      </c>
      <c r="J20" s="15">
        <f t="shared" si="1"/>
        <v>0.13962584953277882</v>
      </c>
      <c r="K20" s="14">
        <f t="shared" si="5"/>
        <v>7.5572201995943885E-4</v>
      </c>
      <c r="L20" s="14">
        <f t="shared" si="6"/>
        <v>2.8448658026186728E-4</v>
      </c>
      <c r="M20" s="16">
        <f t="shared" si="4"/>
        <v>1.0402086002213062E-3</v>
      </c>
    </row>
    <row r="21" spans="1:13" x14ac:dyDescent="0.3">
      <c r="A21" t="s">
        <v>51</v>
      </c>
      <c r="B21" s="12">
        <v>2014</v>
      </c>
      <c r="C21" s="13">
        <v>507885.48700000002</v>
      </c>
      <c r="D21">
        <v>87707.674999999988</v>
      </c>
      <c r="E21" s="12">
        <v>595696</v>
      </c>
      <c r="F21" s="13">
        <v>424</v>
      </c>
      <c r="G21">
        <v>205</v>
      </c>
      <c r="H21" s="12">
        <v>629</v>
      </c>
      <c r="I21" s="15">
        <f t="shared" si="0"/>
        <v>0.85259173638903063</v>
      </c>
      <c r="J21" s="15">
        <f t="shared" si="1"/>
        <v>0.14723562857564931</v>
      </c>
      <c r="K21" s="14">
        <f t="shared" si="5"/>
        <v>7.1177244769143997E-4</v>
      </c>
      <c r="L21" s="14">
        <f t="shared" si="6"/>
        <v>3.4413526362439903E-4</v>
      </c>
      <c r="M21" s="16">
        <f t="shared" si="4"/>
        <v>1.0559077113158389E-3</v>
      </c>
    </row>
    <row r="22" spans="1:13" x14ac:dyDescent="0.3">
      <c r="A22" t="s">
        <v>18</v>
      </c>
      <c r="B22" s="12">
        <v>2010</v>
      </c>
      <c r="C22" s="13">
        <v>518362.80000000005</v>
      </c>
      <c r="D22">
        <v>67206</v>
      </c>
      <c r="E22" s="12">
        <v>584400</v>
      </c>
      <c r="F22" s="13">
        <v>442</v>
      </c>
      <c r="G22">
        <v>171</v>
      </c>
      <c r="H22" s="12">
        <v>613</v>
      </c>
      <c r="I22" s="15">
        <f t="shared" si="0"/>
        <v>0.88700000000000012</v>
      </c>
      <c r="J22" s="15">
        <f t="shared" si="1"/>
        <v>0.115</v>
      </c>
      <c r="K22" s="14">
        <f t="shared" si="5"/>
        <v>7.5633127994524294E-4</v>
      </c>
      <c r="L22" s="14">
        <f t="shared" si="6"/>
        <v>2.9260780287474332E-4</v>
      </c>
      <c r="M22" s="16">
        <f t="shared" si="4"/>
        <v>1.0489390828199864E-3</v>
      </c>
    </row>
    <row r="23" spans="1:13" x14ac:dyDescent="0.3">
      <c r="A23" t="s">
        <v>18</v>
      </c>
      <c r="B23" s="12">
        <v>2009</v>
      </c>
      <c r="C23" s="13">
        <v>519586.33899999998</v>
      </c>
      <c r="D23">
        <v>70023.527000000002</v>
      </c>
      <c r="E23" s="12">
        <v>588433</v>
      </c>
      <c r="F23" s="13">
        <v>390</v>
      </c>
      <c r="G23">
        <v>179</v>
      </c>
      <c r="H23" s="12">
        <v>569</v>
      </c>
      <c r="I23" s="15">
        <f t="shared" si="0"/>
        <v>0.88300000000000001</v>
      </c>
      <c r="J23" s="15">
        <f t="shared" si="1"/>
        <v>0.11900000000000001</v>
      </c>
      <c r="K23" s="14">
        <f t="shared" si="5"/>
        <v>6.627772405694446E-4</v>
      </c>
      <c r="L23" s="14">
        <f t="shared" si="6"/>
        <v>3.0419775913315535E-4</v>
      </c>
      <c r="M23" s="16">
        <f t="shared" si="4"/>
        <v>9.669749997026E-4</v>
      </c>
    </row>
    <row r="24" spans="1:13" x14ac:dyDescent="0.3">
      <c r="A24" t="s">
        <v>55</v>
      </c>
      <c r="B24" s="12">
        <v>2015</v>
      </c>
      <c r="C24" s="13">
        <v>519706.34700000001</v>
      </c>
      <c r="D24">
        <v>100365.09599999999</v>
      </c>
      <c r="E24" s="12">
        <v>620040</v>
      </c>
      <c r="F24" s="13">
        <v>466</v>
      </c>
      <c r="G24">
        <v>149</v>
      </c>
      <c r="H24" s="12">
        <v>615</v>
      </c>
      <c r="I24" s="15">
        <f t="shared" si="0"/>
        <v>0.83818196729243277</v>
      </c>
      <c r="J24" s="15">
        <f t="shared" si="1"/>
        <v>0.16186874395200307</v>
      </c>
      <c r="K24" s="14">
        <f t="shared" si="5"/>
        <v>7.515644151990194E-4</v>
      </c>
      <c r="L24" s="14">
        <f t="shared" si="6"/>
        <v>2.4030707696277661E-4</v>
      </c>
      <c r="M24" s="16">
        <f t="shared" si="4"/>
        <v>9.9187149216179598E-4</v>
      </c>
    </row>
    <row r="25" spans="1:13" x14ac:dyDescent="0.3">
      <c r="A25" t="s">
        <v>44</v>
      </c>
      <c r="B25" s="12">
        <v>2009</v>
      </c>
      <c r="C25" s="13">
        <v>525283.69999999984</v>
      </c>
      <c r="D25">
        <v>88812.41</v>
      </c>
      <c r="E25" s="12">
        <v>614109</v>
      </c>
      <c r="F25" s="13">
        <v>445</v>
      </c>
      <c r="G25">
        <v>160</v>
      </c>
      <c r="H25" s="12">
        <v>605</v>
      </c>
      <c r="I25" s="15">
        <f t="shared" si="0"/>
        <v>0.85535906492169933</v>
      </c>
      <c r="J25" s="15">
        <f t="shared" si="1"/>
        <v>0.14461994531915345</v>
      </c>
      <c r="K25" s="14">
        <f t="shared" si="5"/>
        <v>7.2462706131973319E-4</v>
      </c>
      <c r="L25" s="14">
        <f t="shared" si="6"/>
        <v>2.6054006699136474E-4</v>
      </c>
      <c r="M25" s="16">
        <f t="shared" si="4"/>
        <v>9.8516712831109798E-4</v>
      </c>
    </row>
    <row r="26" spans="1:13" x14ac:dyDescent="0.3">
      <c r="A26" t="s">
        <v>18</v>
      </c>
      <c r="B26" s="12">
        <v>2011</v>
      </c>
      <c r="C26" s="13">
        <v>526838.08499999996</v>
      </c>
      <c r="D26">
        <v>67116.915000000008</v>
      </c>
      <c r="E26" s="12">
        <v>593955</v>
      </c>
      <c r="F26" s="13">
        <v>445</v>
      </c>
      <c r="G26">
        <v>151</v>
      </c>
      <c r="H26" s="12">
        <v>596</v>
      </c>
      <c r="I26" s="15">
        <f t="shared" si="0"/>
        <v>0.8869999999999999</v>
      </c>
      <c r="J26" s="15">
        <f t="shared" si="1"/>
        <v>0.11300000000000002</v>
      </c>
      <c r="K26" s="14">
        <f t="shared" si="5"/>
        <v>7.492150078709667E-4</v>
      </c>
      <c r="L26" s="14">
        <f t="shared" si="6"/>
        <v>2.5422801390677743E-4</v>
      </c>
      <c r="M26" s="16">
        <f t="shared" si="4"/>
        <v>1.003443021777744E-3</v>
      </c>
    </row>
    <row r="27" spans="1:13" x14ac:dyDescent="0.3">
      <c r="A27" t="s">
        <v>55</v>
      </c>
      <c r="B27" s="12">
        <v>2009</v>
      </c>
      <c r="C27" s="13">
        <v>535329.50000000012</v>
      </c>
      <c r="D27">
        <v>85495.759000000005</v>
      </c>
      <c r="E27" s="12">
        <v>620414</v>
      </c>
      <c r="F27" s="13">
        <v>423</v>
      </c>
      <c r="G27">
        <v>179</v>
      </c>
      <c r="H27" s="12">
        <v>602</v>
      </c>
      <c r="I27" s="15">
        <f t="shared" si="0"/>
        <v>0.86285851060743324</v>
      </c>
      <c r="J27" s="15">
        <f t="shared" si="1"/>
        <v>0.13780436772864571</v>
      </c>
      <c r="K27" s="14">
        <f t="shared" si="5"/>
        <v>6.818027961973779E-4</v>
      </c>
      <c r="L27" s="14">
        <f t="shared" si="6"/>
        <v>2.8851702250432774E-4</v>
      </c>
      <c r="M27" s="16">
        <f t="shared" si="4"/>
        <v>9.7031981870170558E-4</v>
      </c>
    </row>
    <row r="28" spans="1:13" x14ac:dyDescent="0.3">
      <c r="A28" t="s">
        <v>18</v>
      </c>
      <c r="B28" s="12">
        <v>2012</v>
      </c>
      <c r="C28" s="13">
        <v>535490.95600000001</v>
      </c>
      <c r="D28">
        <v>69662.285000000003</v>
      </c>
      <c r="E28" s="12">
        <v>605759</v>
      </c>
      <c r="F28" s="13">
        <v>425</v>
      </c>
      <c r="G28">
        <v>164</v>
      </c>
      <c r="H28" s="12">
        <v>589</v>
      </c>
      <c r="I28" s="15">
        <f t="shared" si="0"/>
        <v>0.88400000000000001</v>
      </c>
      <c r="J28" s="15">
        <f t="shared" si="1"/>
        <v>0.115</v>
      </c>
      <c r="K28" s="14">
        <f t="shared" si="5"/>
        <v>7.0159915081740426E-4</v>
      </c>
      <c r="L28" s="14">
        <f t="shared" si="6"/>
        <v>2.7073473113895132E-4</v>
      </c>
      <c r="M28" s="16">
        <f t="shared" si="4"/>
        <v>9.7233388195635563E-4</v>
      </c>
    </row>
    <row r="29" spans="1:13" x14ac:dyDescent="0.3">
      <c r="A29" t="s">
        <v>55</v>
      </c>
      <c r="B29" s="12">
        <v>2011</v>
      </c>
      <c r="C29" s="13">
        <v>536071.652</v>
      </c>
      <c r="D29">
        <v>88586.030999999988</v>
      </c>
      <c r="E29" s="12">
        <v>624949</v>
      </c>
      <c r="F29" s="13">
        <v>416</v>
      </c>
      <c r="G29">
        <v>112</v>
      </c>
      <c r="H29" s="12">
        <v>528</v>
      </c>
      <c r="I29" s="15">
        <f t="shared" si="0"/>
        <v>0.85778463842649566</v>
      </c>
      <c r="J29" s="15">
        <f t="shared" si="1"/>
        <v>0.141749216336053</v>
      </c>
      <c r="K29" s="14">
        <f t="shared" si="5"/>
        <v>6.6565431739229919E-4</v>
      </c>
      <c r="L29" s="14">
        <f t="shared" si="6"/>
        <v>1.7921462391331134E-4</v>
      </c>
      <c r="M29" s="16">
        <f t="shared" si="4"/>
        <v>8.4486894130561053E-4</v>
      </c>
    </row>
    <row r="30" spans="1:13" x14ac:dyDescent="0.3">
      <c r="A30" t="s">
        <v>44</v>
      </c>
      <c r="B30" s="12">
        <v>2014</v>
      </c>
      <c r="C30" s="13">
        <v>540913.397</v>
      </c>
      <c r="D30">
        <v>85151.657999999996</v>
      </c>
      <c r="E30" s="12">
        <v>626359</v>
      </c>
      <c r="F30" s="13">
        <v>449</v>
      </c>
      <c r="G30">
        <v>173</v>
      </c>
      <c r="H30" s="12">
        <v>622</v>
      </c>
      <c r="I30" s="15">
        <f t="shared" si="0"/>
        <v>0.86358365889210498</v>
      </c>
      <c r="J30" s="15">
        <f t="shared" si="1"/>
        <v>0.13594704953549003</v>
      </c>
      <c r="K30" s="14">
        <f t="shared" si="5"/>
        <v>7.1684130027667838E-4</v>
      </c>
      <c r="L30" s="14">
        <f t="shared" si="6"/>
        <v>2.7619943195515673E-4</v>
      </c>
      <c r="M30" s="16">
        <f t="shared" si="4"/>
        <v>9.93040732231835E-4</v>
      </c>
    </row>
    <row r="31" spans="1:13" x14ac:dyDescent="0.3">
      <c r="A31" t="s">
        <v>44</v>
      </c>
      <c r="B31" s="12">
        <v>2013</v>
      </c>
      <c r="C31" s="13">
        <v>546759.88299999991</v>
      </c>
      <c r="D31">
        <v>89918.150999999998</v>
      </c>
      <c r="E31" s="12">
        <v>636576</v>
      </c>
      <c r="F31" s="13">
        <v>454</v>
      </c>
      <c r="G31">
        <v>162</v>
      </c>
      <c r="H31" s="12">
        <v>616</v>
      </c>
      <c r="I31" s="15">
        <f t="shared" si="0"/>
        <v>0.85890747216357499</v>
      </c>
      <c r="J31" s="15">
        <f t="shared" si="1"/>
        <v>0.14125281348966973</v>
      </c>
      <c r="K31" s="14">
        <f t="shared" si="5"/>
        <v>7.1319056954707687E-4</v>
      </c>
      <c r="L31" s="14">
        <f t="shared" si="6"/>
        <v>2.5448650278992612E-4</v>
      </c>
      <c r="M31" s="16">
        <f t="shared" si="4"/>
        <v>9.6767707233700294E-4</v>
      </c>
    </row>
    <row r="32" spans="1:13" x14ac:dyDescent="0.3">
      <c r="A32" t="s">
        <v>18</v>
      </c>
      <c r="B32" s="12">
        <v>2013</v>
      </c>
      <c r="C32" s="13">
        <v>547523.96400000004</v>
      </c>
      <c r="D32">
        <v>69988.922999999995</v>
      </c>
      <c r="E32" s="12">
        <v>619371</v>
      </c>
      <c r="F32" s="13">
        <v>409</v>
      </c>
      <c r="G32">
        <v>186</v>
      </c>
      <c r="H32" s="12">
        <v>595</v>
      </c>
      <c r="I32" s="15">
        <f t="shared" si="0"/>
        <v>0.88400000000000001</v>
      </c>
      <c r="J32" s="15">
        <f t="shared" si="1"/>
        <v>0.11299999999999999</v>
      </c>
      <c r="K32" s="14">
        <f t="shared" si="5"/>
        <v>6.6034735239460681E-4</v>
      </c>
      <c r="L32" s="14">
        <f t="shared" si="6"/>
        <v>3.0030466392517568E-4</v>
      </c>
      <c r="M32" s="16">
        <f t="shared" si="4"/>
        <v>9.6065201631978254E-4</v>
      </c>
    </row>
    <row r="33" spans="1:13" x14ac:dyDescent="0.3">
      <c r="A33" t="s">
        <v>44</v>
      </c>
      <c r="B33" s="12">
        <v>2012</v>
      </c>
      <c r="C33" s="13">
        <v>552376.30999999994</v>
      </c>
      <c r="D33">
        <v>91383.972999999998</v>
      </c>
      <c r="E33" s="12">
        <v>644077</v>
      </c>
      <c r="F33" s="13">
        <v>453</v>
      </c>
      <c r="G33">
        <v>169</v>
      </c>
      <c r="H33" s="12">
        <v>622</v>
      </c>
      <c r="I33" s="15">
        <f t="shared" si="0"/>
        <v>0.85762464736359156</v>
      </c>
      <c r="J33" s="15">
        <f t="shared" si="1"/>
        <v>0.14188361484729309</v>
      </c>
      <c r="K33" s="14">
        <f t="shared" si="5"/>
        <v>7.033320550182664E-4</v>
      </c>
      <c r="L33" s="14">
        <f t="shared" si="6"/>
        <v>2.6239098741299565E-4</v>
      </c>
      <c r="M33" s="16">
        <f t="shared" si="4"/>
        <v>9.657230424312621E-4</v>
      </c>
    </row>
    <row r="34" spans="1:13" x14ac:dyDescent="0.3">
      <c r="A34" t="s">
        <v>44</v>
      </c>
      <c r="B34" s="12">
        <v>2015</v>
      </c>
      <c r="C34" s="13">
        <v>560311.79500000004</v>
      </c>
      <c r="D34">
        <v>90690.974000000002</v>
      </c>
      <c r="E34" s="12">
        <v>651126</v>
      </c>
      <c r="F34" s="13">
        <v>431</v>
      </c>
      <c r="G34">
        <v>168</v>
      </c>
      <c r="H34" s="12">
        <v>599</v>
      </c>
      <c r="I34" s="15">
        <f t="shared" si="0"/>
        <v>0.86052744783651713</v>
      </c>
      <c r="J34" s="15">
        <f t="shared" si="1"/>
        <v>0.13928329386324614</v>
      </c>
      <c r="K34" s="14">
        <f t="shared" si="5"/>
        <v>6.619302562023326E-4</v>
      </c>
      <c r="L34" s="14">
        <f t="shared" si="6"/>
        <v>2.5801457782364704E-4</v>
      </c>
      <c r="M34" s="16">
        <f t="shared" si="4"/>
        <v>9.1994483402597959E-4</v>
      </c>
    </row>
    <row r="35" spans="1:13" x14ac:dyDescent="0.3">
      <c r="A35" t="s">
        <v>44</v>
      </c>
      <c r="B35" s="12">
        <v>2011</v>
      </c>
      <c r="C35" s="13">
        <v>560525.16500000015</v>
      </c>
      <c r="D35">
        <v>94279.787000000011</v>
      </c>
      <c r="E35" s="12">
        <v>655121</v>
      </c>
      <c r="F35" s="13">
        <v>439</v>
      </c>
      <c r="G35">
        <v>144</v>
      </c>
      <c r="H35" s="12">
        <v>583</v>
      </c>
      <c r="I35" s="15">
        <f t="shared" si="0"/>
        <v>0.85560555225675894</v>
      </c>
      <c r="J35" s="15">
        <f t="shared" si="1"/>
        <v>0.14391202083279273</v>
      </c>
      <c r="K35" s="14">
        <f t="shared" si="5"/>
        <v>6.7010521720415011E-4</v>
      </c>
      <c r="L35" s="14">
        <f t="shared" si="6"/>
        <v>2.1980672272755721E-4</v>
      </c>
      <c r="M35" s="16">
        <f t="shared" si="4"/>
        <v>8.8991193993170729E-4</v>
      </c>
    </row>
    <row r="36" spans="1:13" x14ac:dyDescent="0.3">
      <c r="A36" t="s">
        <v>18</v>
      </c>
      <c r="B36" s="12">
        <v>2014</v>
      </c>
      <c r="C36" s="13">
        <v>562123.83199999994</v>
      </c>
      <c r="D36">
        <v>71612.168000000005</v>
      </c>
      <c r="E36" s="12">
        <v>633736</v>
      </c>
      <c r="F36" s="13">
        <v>443</v>
      </c>
      <c r="G36">
        <v>164</v>
      </c>
      <c r="H36" s="12">
        <v>607</v>
      </c>
      <c r="I36" s="15">
        <f t="shared" si="0"/>
        <v>0.8869999999999999</v>
      </c>
      <c r="J36" s="15">
        <f t="shared" si="1"/>
        <v>0.113</v>
      </c>
      <c r="K36" s="14">
        <f t="shared" si="5"/>
        <v>6.9902924877235947E-4</v>
      </c>
      <c r="L36" s="14">
        <f t="shared" si="6"/>
        <v>2.5878283701730691E-4</v>
      </c>
      <c r="M36" s="16">
        <f t="shared" si="4"/>
        <v>9.5781208578966633E-4</v>
      </c>
    </row>
    <row r="37" spans="1:13" x14ac:dyDescent="0.3">
      <c r="A37" t="s">
        <v>11</v>
      </c>
      <c r="B37" s="12">
        <v>2014</v>
      </c>
      <c r="C37" s="13">
        <v>573376.91399999999</v>
      </c>
      <c r="D37">
        <v>54377.585000000006</v>
      </c>
      <c r="E37" s="12">
        <v>627424</v>
      </c>
      <c r="F37" s="13">
        <v>454</v>
      </c>
      <c r="G37">
        <v>151</v>
      </c>
      <c r="H37" s="12">
        <v>605</v>
      </c>
      <c r="I37" s="15">
        <f t="shared" si="0"/>
        <v>0.9138587526138624</v>
      </c>
      <c r="J37" s="15">
        <f t="shared" si="1"/>
        <v>8.6668002817871181E-2</v>
      </c>
      <c r="K37" s="14">
        <f t="shared" si="5"/>
        <v>7.235936145254246E-4</v>
      </c>
      <c r="L37" s="14">
        <f t="shared" si="6"/>
        <v>2.4066659866374255E-4</v>
      </c>
      <c r="M37" s="16">
        <f t="shared" si="4"/>
        <v>9.6426021318916715E-4</v>
      </c>
    </row>
    <row r="38" spans="1:13" x14ac:dyDescent="0.3">
      <c r="A38" t="s">
        <v>18</v>
      </c>
      <c r="B38" s="12">
        <v>2015</v>
      </c>
      <c r="C38" s="13">
        <v>573670.82399999991</v>
      </c>
      <c r="D38">
        <v>73813.175999999992</v>
      </c>
      <c r="E38" s="12">
        <v>647484</v>
      </c>
      <c r="F38" s="13">
        <v>450</v>
      </c>
      <c r="G38">
        <v>148</v>
      </c>
      <c r="H38" s="12">
        <v>598</v>
      </c>
      <c r="I38" s="15">
        <f t="shared" si="0"/>
        <v>0.8859999999999999</v>
      </c>
      <c r="J38" s="15">
        <f t="shared" si="1"/>
        <v>0.11399999999999999</v>
      </c>
      <c r="K38" s="14">
        <f t="shared" si="5"/>
        <v>6.9499786867320275E-4</v>
      </c>
      <c r="L38" s="14">
        <f t="shared" si="6"/>
        <v>2.2857707680807557E-4</v>
      </c>
      <c r="M38" s="16">
        <f t="shared" si="4"/>
        <v>9.2357494548127826E-4</v>
      </c>
    </row>
    <row r="39" spans="1:13" x14ac:dyDescent="0.3">
      <c r="A39" t="s">
        <v>51</v>
      </c>
      <c r="B39" s="12">
        <v>2013</v>
      </c>
      <c r="C39" s="13">
        <v>577402.80099999986</v>
      </c>
      <c r="D39">
        <v>100567.42199999999</v>
      </c>
      <c r="E39" s="12">
        <v>677707</v>
      </c>
      <c r="F39" s="13">
        <v>429</v>
      </c>
      <c r="G39">
        <v>206</v>
      </c>
      <c r="H39" s="12">
        <v>635</v>
      </c>
      <c r="I39" s="15">
        <f t="shared" si="0"/>
        <v>0.85199474256573982</v>
      </c>
      <c r="J39" s="15">
        <f t="shared" si="1"/>
        <v>0.14839365979693289</v>
      </c>
      <c r="K39" s="14">
        <f t="shared" si="5"/>
        <v>6.3301692324264024E-4</v>
      </c>
      <c r="L39" s="14">
        <f t="shared" si="6"/>
        <v>3.0396616827035872E-4</v>
      </c>
      <c r="M39" s="16">
        <f t="shared" si="4"/>
        <v>9.3698309151299896E-4</v>
      </c>
    </row>
    <row r="40" spans="1:13" x14ac:dyDescent="0.3">
      <c r="A40" t="s">
        <v>18</v>
      </c>
      <c r="B40" s="12">
        <v>2016</v>
      </c>
      <c r="C40" s="13">
        <v>585199.99200000009</v>
      </c>
      <c r="D40">
        <v>75127.025999999998</v>
      </c>
      <c r="E40" s="12">
        <v>659009</v>
      </c>
      <c r="F40" s="13">
        <v>439</v>
      </c>
      <c r="G40">
        <v>178</v>
      </c>
      <c r="H40" s="12">
        <v>617</v>
      </c>
      <c r="I40" s="15">
        <f t="shared" si="0"/>
        <v>0.88800000000000012</v>
      </c>
      <c r="J40" s="15">
        <f t="shared" si="1"/>
        <v>0.11399999999999999</v>
      </c>
      <c r="K40" s="14">
        <f t="shared" si="5"/>
        <v>6.6615175210050245E-4</v>
      </c>
      <c r="L40" s="14">
        <f t="shared" si="6"/>
        <v>2.7010253274234496E-4</v>
      </c>
      <c r="M40" s="16">
        <f t="shared" si="4"/>
        <v>9.3625428484284741E-4</v>
      </c>
    </row>
    <row r="41" spans="1:13" x14ac:dyDescent="0.3">
      <c r="A41" t="s">
        <v>18</v>
      </c>
      <c r="B41" s="12">
        <v>2017</v>
      </c>
      <c r="C41" s="13">
        <v>592622</v>
      </c>
      <c r="D41">
        <v>79769</v>
      </c>
      <c r="E41" s="12">
        <v>672391</v>
      </c>
      <c r="F41" s="13">
        <v>462</v>
      </c>
      <c r="G41">
        <v>175</v>
      </c>
      <c r="H41" s="12">
        <v>637</v>
      </c>
      <c r="I41" s="15">
        <f t="shared" si="0"/>
        <v>0.88136515807022997</v>
      </c>
      <c r="J41" s="15">
        <f t="shared" si="1"/>
        <v>0.11863484192977003</v>
      </c>
      <c r="K41" s="14">
        <f t="shared" si="5"/>
        <v>6.8710021401238264E-4</v>
      </c>
      <c r="L41" s="14">
        <f t="shared" si="6"/>
        <v>2.6026523258044799E-4</v>
      </c>
      <c r="M41" s="16">
        <f t="shared" si="4"/>
        <v>9.4736544659283068E-4</v>
      </c>
    </row>
    <row r="42" spans="1:13" x14ac:dyDescent="0.3">
      <c r="A42" t="s">
        <v>44</v>
      </c>
      <c r="B42" s="12">
        <v>2017</v>
      </c>
      <c r="C42" s="13">
        <v>593856</v>
      </c>
      <c r="D42">
        <v>101439</v>
      </c>
      <c r="E42" s="12">
        <v>695295</v>
      </c>
      <c r="F42" s="13">
        <v>437</v>
      </c>
      <c r="G42">
        <v>190</v>
      </c>
      <c r="H42" s="12">
        <v>627</v>
      </c>
      <c r="I42" s="15">
        <f t="shared" si="0"/>
        <v>0.85410653032166206</v>
      </c>
      <c r="J42" s="15">
        <f t="shared" si="1"/>
        <v>0.14589346967833797</v>
      </c>
      <c r="K42" s="14">
        <f t="shared" si="5"/>
        <v>6.2851020070617508E-4</v>
      </c>
      <c r="L42" s="14">
        <f t="shared" si="6"/>
        <v>2.7326530465485871E-4</v>
      </c>
      <c r="M42" s="16">
        <f t="shared" si="4"/>
        <v>9.0177550536103379E-4</v>
      </c>
    </row>
    <row r="43" spans="1:13" x14ac:dyDescent="0.3">
      <c r="A43" t="s">
        <v>51</v>
      </c>
      <c r="B43" s="12">
        <v>2010</v>
      </c>
      <c r="C43" s="13">
        <v>600233.20600000001</v>
      </c>
      <c r="D43">
        <v>96357.390000000014</v>
      </c>
      <c r="E43" s="12">
        <v>696942</v>
      </c>
      <c r="F43" s="13">
        <v>399</v>
      </c>
      <c r="G43">
        <v>170</v>
      </c>
      <c r="H43" s="12">
        <v>569</v>
      </c>
      <c r="I43" s="15">
        <f t="shared" si="0"/>
        <v>0.86123838999515023</v>
      </c>
      <c r="J43" s="15">
        <f t="shared" si="1"/>
        <v>0.13825740162022093</v>
      </c>
      <c r="K43" s="14">
        <f t="shared" si="5"/>
        <v>5.7250101156193771E-4</v>
      </c>
      <c r="L43" s="14">
        <f t="shared" si="6"/>
        <v>2.4392273675571282E-4</v>
      </c>
      <c r="M43" s="16">
        <f t="shared" si="4"/>
        <v>8.1642374831765051E-4</v>
      </c>
    </row>
    <row r="44" spans="1:13" x14ac:dyDescent="0.3">
      <c r="A44" t="s">
        <v>51</v>
      </c>
      <c r="B44" s="12">
        <v>2017</v>
      </c>
      <c r="C44" s="13">
        <v>607050</v>
      </c>
      <c r="D44">
        <v>111796</v>
      </c>
      <c r="E44" s="12">
        <v>718846</v>
      </c>
      <c r="F44" s="13">
        <v>430</v>
      </c>
      <c r="G44">
        <v>209</v>
      </c>
      <c r="H44" s="12">
        <v>639</v>
      </c>
      <c r="I44" s="15">
        <f t="shared" si="0"/>
        <v>0.8444785113918698</v>
      </c>
      <c r="J44" s="15">
        <f t="shared" si="1"/>
        <v>0.15552148860813025</v>
      </c>
      <c r="K44" s="14">
        <f t="shared" si="5"/>
        <v>5.9818097339346676E-4</v>
      </c>
      <c r="L44" s="14">
        <f t="shared" si="6"/>
        <v>2.9074377544008036E-4</v>
      </c>
      <c r="M44" s="16">
        <f t="shared" si="4"/>
        <v>8.8892474883354707E-4</v>
      </c>
    </row>
    <row r="45" spans="1:13" x14ac:dyDescent="0.3">
      <c r="A45" t="s">
        <v>51</v>
      </c>
      <c r="B45" s="12">
        <v>2016</v>
      </c>
      <c r="C45" s="13">
        <v>611546.76400000008</v>
      </c>
      <c r="D45">
        <v>105383.20199999999</v>
      </c>
      <c r="E45" s="12">
        <v>716943</v>
      </c>
      <c r="F45" s="13">
        <v>450</v>
      </c>
      <c r="G45">
        <v>202</v>
      </c>
      <c r="H45" s="12">
        <v>652</v>
      </c>
      <c r="I45" s="15">
        <f t="shared" si="0"/>
        <v>0.85299216813610024</v>
      </c>
      <c r="J45" s="15">
        <f t="shared" si="1"/>
        <v>0.14698965189701271</v>
      </c>
      <c r="K45" s="14">
        <f t="shared" si="5"/>
        <v>6.2766496081278426E-4</v>
      </c>
      <c r="L45" s="14">
        <f t="shared" si="6"/>
        <v>2.817518268537387E-4</v>
      </c>
      <c r="M45" s="16">
        <f t="shared" si="4"/>
        <v>9.0941678766652296E-4</v>
      </c>
    </row>
    <row r="46" spans="1:13" x14ac:dyDescent="0.3">
      <c r="A46" t="s">
        <v>11</v>
      </c>
      <c r="B46" s="12">
        <v>2012</v>
      </c>
      <c r="C46" s="13">
        <v>613528.18900000001</v>
      </c>
      <c r="D46">
        <v>51376.460999999996</v>
      </c>
      <c r="E46" s="12">
        <v>664868</v>
      </c>
      <c r="F46" s="13">
        <v>463</v>
      </c>
      <c r="G46">
        <v>178</v>
      </c>
      <c r="H46" s="12">
        <v>641</v>
      </c>
      <c r="I46" s="15">
        <f t="shared" si="0"/>
        <v>0.92278194919893874</v>
      </c>
      <c r="J46" s="15">
        <f t="shared" si="1"/>
        <v>7.7273174524868093E-2</v>
      </c>
      <c r="K46" s="14">
        <f t="shared" si="5"/>
        <v>6.9637883008356546E-4</v>
      </c>
      <c r="L46" s="14">
        <f t="shared" si="6"/>
        <v>2.6772231480534485E-4</v>
      </c>
      <c r="M46" s="16">
        <f t="shared" si="4"/>
        <v>9.6410114488891031E-4</v>
      </c>
    </row>
    <row r="47" spans="1:13" x14ac:dyDescent="0.3">
      <c r="A47" t="s">
        <v>11</v>
      </c>
      <c r="B47" s="12">
        <v>2011</v>
      </c>
      <c r="C47" s="13">
        <v>614924.30900000001</v>
      </c>
      <c r="D47">
        <v>50856.978000000003</v>
      </c>
      <c r="E47" s="12">
        <v>665600</v>
      </c>
      <c r="F47" s="13">
        <v>424</v>
      </c>
      <c r="G47">
        <v>167</v>
      </c>
      <c r="H47" s="12">
        <v>591</v>
      </c>
      <c r="I47" s="15">
        <f t="shared" si="0"/>
        <v>0.92386464693509618</v>
      </c>
      <c r="J47" s="15">
        <f t="shared" si="1"/>
        <v>7.6407719350961537E-2</v>
      </c>
      <c r="K47" s="14">
        <f t="shared" si="5"/>
        <v>6.3701923076923072E-4</v>
      </c>
      <c r="L47" s="14">
        <f t="shared" si="6"/>
        <v>2.5090144230769231E-4</v>
      </c>
      <c r="M47" s="16">
        <f t="shared" si="4"/>
        <v>8.8792067307692302E-4</v>
      </c>
    </row>
    <row r="48" spans="1:13" x14ac:dyDescent="0.3">
      <c r="A48" t="s">
        <v>11</v>
      </c>
      <c r="B48" s="12">
        <v>2015</v>
      </c>
      <c r="C48" s="13">
        <v>616600.33299999998</v>
      </c>
      <c r="D48">
        <v>63707.814999999995</v>
      </c>
      <c r="E48" s="12">
        <v>680299</v>
      </c>
      <c r="F48" s="13">
        <v>474</v>
      </c>
      <c r="G48">
        <v>139</v>
      </c>
      <c r="H48" s="12">
        <v>613</v>
      </c>
      <c r="I48" s="15">
        <f t="shared" si="0"/>
        <v>0.90636666083589712</v>
      </c>
      <c r="J48" s="15">
        <f t="shared" si="1"/>
        <v>9.3646786192541798E-2</v>
      </c>
      <c r="K48" s="14">
        <f t="shared" si="5"/>
        <v>6.9675245737535994E-4</v>
      </c>
      <c r="L48" s="14">
        <f t="shared" si="6"/>
        <v>2.0432192315437771E-4</v>
      </c>
      <c r="M48" s="16">
        <f t="shared" si="4"/>
        <v>9.0107438052973768E-4</v>
      </c>
    </row>
    <row r="49" spans="1:13" x14ac:dyDescent="0.3">
      <c r="A49" t="s">
        <v>11</v>
      </c>
      <c r="B49" s="12">
        <v>2017</v>
      </c>
      <c r="C49" s="13">
        <v>625102</v>
      </c>
      <c r="D49">
        <v>72309</v>
      </c>
      <c r="E49" s="12">
        <v>697411</v>
      </c>
      <c r="F49" s="13">
        <v>467</v>
      </c>
      <c r="G49">
        <v>150</v>
      </c>
      <c r="H49" s="12">
        <v>617</v>
      </c>
      <c r="I49" s="15">
        <f t="shared" si="0"/>
        <v>0.89631795311516449</v>
      </c>
      <c r="J49" s="15">
        <f t="shared" si="1"/>
        <v>0.10368204688483548</v>
      </c>
      <c r="K49" s="14">
        <f t="shared" si="5"/>
        <v>6.6961949266644777E-4</v>
      </c>
      <c r="L49" s="14">
        <f t="shared" si="6"/>
        <v>2.1508120749457637E-4</v>
      </c>
      <c r="M49" s="16">
        <f t="shared" si="4"/>
        <v>8.8470070016102409E-4</v>
      </c>
    </row>
    <row r="50" spans="1:13" x14ac:dyDescent="0.3">
      <c r="A50" t="s">
        <v>51</v>
      </c>
      <c r="B50" s="12">
        <v>2012</v>
      </c>
      <c r="C50" s="13">
        <v>625251.98199999996</v>
      </c>
      <c r="D50">
        <v>105108.76999999999</v>
      </c>
      <c r="E50" s="12">
        <v>730225</v>
      </c>
      <c r="F50" s="13">
        <v>439</v>
      </c>
      <c r="G50">
        <v>218</v>
      </c>
      <c r="H50" s="12">
        <v>657</v>
      </c>
      <c r="I50" s="15">
        <f t="shared" si="0"/>
        <v>0.8562456530521414</v>
      </c>
      <c r="J50" s="15">
        <f t="shared" si="1"/>
        <v>0.14394025129240987</v>
      </c>
      <c r="K50" s="14">
        <f t="shared" si="5"/>
        <v>6.0118456640076683E-4</v>
      </c>
      <c r="L50" s="14">
        <f t="shared" si="6"/>
        <v>2.9853812181177035E-4</v>
      </c>
      <c r="M50" s="16">
        <f t="shared" si="4"/>
        <v>8.9972268821253724E-4</v>
      </c>
    </row>
    <row r="51" spans="1:13" x14ac:dyDescent="0.3">
      <c r="A51" t="s">
        <v>11</v>
      </c>
      <c r="B51" s="12">
        <v>2010</v>
      </c>
      <c r="C51" s="13">
        <v>625347.32000000007</v>
      </c>
      <c r="D51">
        <v>48823.28300000001</v>
      </c>
      <c r="E51" s="12">
        <v>674090</v>
      </c>
      <c r="F51" s="13">
        <v>479</v>
      </c>
      <c r="G51">
        <v>162</v>
      </c>
      <c r="H51" s="12">
        <v>641</v>
      </c>
      <c r="I51" s="15">
        <f t="shared" si="0"/>
        <v>0.92769113916539347</v>
      </c>
      <c r="J51" s="15">
        <f t="shared" si="1"/>
        <v>7.2428433888649904E-2</v>
      </c>
      <c r="K51" s="14">
        <f t="shared" si="5"/>
        <v>7.105876069960984E-4</v>
      </c>
      <c r="L51" s="14">
        <f t="shared" si="6"/>
        <v>2.4032399234523579E-4</v>
      </c>
      <c r="M51" s="16">
        <f t="shared" si="4"/>
        <v>9.509115993413343E-4</v>
      </c>
    </row>
    <row r="52" spans="1:13" x14ac:dyDescent="0.3">
      <c r="A52" t="s">
        <v>11</v>
      </c>
      <c r="B52" s="12">
        <v>2016</v>
      </c>
      <c r="C52" s="13">
        <v>628888.00199999986</v>
      </c>
      <c r="D52">
        <v>70440.233999999997</v>
      </c>
      <c r="E52" s="12">
        <v>699828</v>
      </c>
      <c r="F52" s="13">
        <v>430</v>
      </c>
      <c r="G52">
        <v>199</v>
      </c>
      <c r="H52" s="12">
        <v>629</v>
      </c>
      <c r="I52" s="15">
        <f t="shared" si="0"/>
        <v>0.89863223820710214</v>
      </c>
      <c r="J52" s="15">
        <f t="shared" si="1"/>
        <v>0.10065363775099023</v>
      </c>
      <c r="K52" s="14">
        <f t="shared" si="5"/>
        <v>6.1443669015815317E-4</v>
      </c>
      <c r="L52" s="14">
        <f t="shared" si="6"/>
        <v>2.8435558451505227E-4</v>
      </c>
      <c r="M52" s="16">
        <f t="shared" si="4"/>
        <v>8.9879227467320544E-4</v>
      </c>
    </row>
    <row r="53" spans="1:13" x14ac:dyDescent="0.3">
      <c r="A53" t="s">
        <v>11</v>
      </c>
      <c r="B53" s="12">
        <v>2013</v>
      </c>
      <c r="C53" s="13">
        <v>632915.65899999999</v>
      </c>
      <c r="D53">
        <v>56874.692000000003</v>
      </c>
      <c r="E53" s="12">
        <v>689969</v>
      </c>
      <c r="F53" s="13">
        <v>450</v>
      </c>
      <c r="G53">
        <v>165</v>
      </c>
      <c r="H53" s="12">
        <v>615</v>
      </c>
      <c r="I53" s="15">
        <f t="shared" si="0"/>
        <v>0.91731028350549082</v>
      </c>
      <c r="J53" s="15">
        <f t="shared" si="1"/>
        <v>8.2430793267523617E-2</v>
      </c>
      <c r="K53" s="14">
        <f t="shared" si="5"/>
        <v>6.5220321492704748E-4</v>
      </c>
      <c r="L53" s="14">
        <f t="shared" si="6"/>
        <v>2.3914117880658407E-4</v>
      </c>
      <c r="M53" s="16">
        <f t="shared" si="4"/>
        <v>8.913443937336315E-4</v>
      </c>
    </row>
    <row r="54" spans="1:13" x14ac:dyDescent="0.3">
      <c r="A54" t="s">
        <v>11</v>
      </c>
      <c r="B54" s="12">
        <v>2009</v>
      </c>
      <c r="C54" s="13">
        <v>635709.67299999995</v>
      </c>
      <c r="D54">
        <v>47808.709000000003</v>
      </c>
      <c r="E54" s="12">
        <v>683142</v>
      </c>
      <c r="F54" s="13">
        <v>379</v>
      </c>
      <c r="G54">
        <v>153</v>
      </c>
      <c r="H54" s="12">
        <v>532</v>
      </c>
      <c r="I54" s="15">
        <f t="shared" si="0"/>
        <v>0.93056739740785954</v>
      </c>
      <c r="J54" s="15">
        <f t="shared" si="1"/>
        <v>6.9983559786984256E-2</v>
      </c>
      <c r="K54" s="14">
        <f t="shared" si="5"/>
        <v>5.5478948739793481E-4</v>
      </c>
      <c r="L54" s="14">
        <f t="shared" si="6"/>
        <v>2.2396514926618477E-4</v>
      </c>
      <c r="M54" s="16">
        <f t="shared" si="4"/>
        <v>7.7875463666411964E-4</v>
      </c>
    </row>
    <row r="55" spans="1:13" x14ac:dyDescent="0.3">
      <c r="A55" t="s">
        <v>51</v>
      </c>
      <c r="B55" s="12">
        <v>2011</v>
      </c>
      <c r="C55" s="13">
        <v>658931.69099999999</v>
      </c>
      <c r="D55">
        <v>106939.12699999999</v>
      </c>
      <c r="E55" s="12">
        <v>765863</v>
      </c>
      <c r="F55" s="13">
        <v>430</v>
      </c>
      <c r="G55">
        <v>178</v>
      </c>
      <c r="H55" s="12">
        <v>608</v>
      </c>
      <c r="I55" s="15">
        <f t="shared" si="0"/>
        <v>0.86037801930632496</v>
      </c>
      <c r="J55" s="15">
        <f t="shared" si="1"/>
        <v>0.13963218878572276</v>
      </c>
      <c r="K55" s="14">
        <f t="shared" si="5"/>
        <v>5.6145811979427132E-4</v>
      </c>
      <c r="L55" s="14">
        <f t="shared" si="6"/>
        <v>2.3241754726367509E-4</v>
      </c>
      <c r="M55" s="16">
        <f t="shared" si="4"/>
        <v>7.9387566705794641E-4</v>
      </c>
    </row>
    <row r="56" spans="1:13" x14ac:dyDescent="0.3">
      <c r="A56" t="s">
        <v>36</v>
      </c>
      <c r="B56" s="12">
        <v>2017</v>
      </c>
      <c r="C56" s="13">
        <v>671167</v>
      </c>
      <c r="D56">
        <v>134545</v>
      </c>
      <c r="E56" s="12">
        <v>805712</v>
      </c>
      <c r="F56" s="13">
        <v>443</v>
      </c>
      <c r="G56">
        <v>213</v>
      </c>
      <c r="H56" s="12">
        <v>656</v>
      </c>
      <c r="I56" s="15">
        <f t="shared" si="0"/>
        <v>0.83301105109518037</v>
      </c>
      <c r="J56" s="15">
        <f t="shared" si="1"/>
        <v>0.16698894890481958</v>
      </c>
      <c r="K56" s="14">
        <f t="shared" si="5"/>
        <v>5.4982425482058106E-4</v>
      </c>
      <c r="L56" s="14">
        <f t="shared" si="6"/>
        <v>2.6436245209206265E-4</v>
      </c>
      <c r="M56" s="16">
        <f t="shared" si="4"/>
        <v>8.1418670691264371E-4</v>
      </c>
    </row>
    <row r="57" spans="1:13" x14ac:dyDescent="0.3">
      <c r="A57" t="s">
        <v>51</v>
      </c>
      <c r="B57" s="12">
        <v>2009</v>
      </c>
      <c r="C57" s="13">
        <v>674255.81300000008</v>
      </c>
      <c r="D57">
        <v>112907.21099999998</v>
      </c>
      <c r="E57" s="12">
        <v>786961</v>
      </c>
      <c r="F57" s="13">
        <v>424</v>
      </c>
      <c r="G57">
        <v>177</v>
      </c>
      <c r="H57" s="12">
        <v>601</v>
      </c>
      <c r="I57" s="15">
        <f t="shared" si="0"/>
        <v>0.85678427901763887</v>
      </c>
      <c r="J57" s="15">
        <f t="shared" si="1"/>
        <v>0.14347243510161239</v>
      </c>
      <c r="K57" s="14">
        <f t="shared" si="5"/>
        <v>5.3878146439277164E-4</v>
      </c>
      <c r="L57" s="14">
        <f t="shared" si="6"/>
        <v>2.2491584716396367E-4</v>
      </c>
      <c r="M57" s="16">
        <f t="shared" si="4"/>
        <v>7.636973115567353E-4</v>
      </c>
    </row>
    <row r="58" spans="1:13" x14ac:dyDescent="0.3">
      <c r="A58" t="s">
        <v>17</v>
      </c>
      <c r="B58" s="12">
        <v>2009</v>
      </c>
      <c r="C58" s="13">
        <v>745245.96200000006</v>
      </c>
      <c r="D58">
        <v>119147.20599999999</v>
      </c>
      <c r="E58" s="12">
        <v>863832</v>
      </c>
      <c r="F58" s="13">
        <v>422</v>
      </c>
      <c r="G58">
        <v>153</v>
      </c>
      <c r="H58" s="12">
        <v>575</v>
      </c>
      <c r="I58" s="15">
        <f t="shared" si="0"/>
        <v>0.86272094805471444</v>
      </c>
      <c r="J58" s="15">
        <f t="shared" si="1"/>
        <v>0.13792867826151381</v>
      </c>
      <c r="K58" s="14">
        <f t="shared" si="5"/>
        <v>4.885209161040573E-4</v>
      </c>
      <c r="L58" s="14">
        <f t="shared" si="6"/>
        <v>1.7711777290028616E-4</v>
      </c>
      <c r="M58" s="16">
        <f t="shared" si="4"/>
        <v>6.6563868900434346E-4</v>
      </c>
    </row>
    <row r="59" spans="1:13" x14ac:dyDescent="0.3">
      <c r="A59" t="s">
        <v>36</v>
      </c>
      <c r="B59" s="12">
        <v>2014</v>
      </c>
      <c r="C59" s="13">
        <v>749988.41499999992</v>
      </c>
      <c r="D59">
        <v>136192.69900000002</v>
      </c>
      <c r="E59" s="12">
        <v>886141</v>
      </c>
      <c r="F59" s="13">
        <v>449</v>
      </c>
      <c r="G59">
        <v>178</v>
      </c>
      <c r="H59" s="12">
        <v>627</v>
      </c>
      <c r="I59" s="15">
        <f t="shared" si="0"/>
        <v>0.84635336250100146</v>
      </c>
      <c r="J59" s="15">
        <f t="shared" si="1"/>
        <v>0.15369190568995231</v>
      </c>
      <c r="K59" s="14">
        <f t="shared" si="5"/>
        <v>5.0669137304334185E-4</v>
      </c>
      <c r="L59" s="14">
        <f t="shared" si="6"/>
        <v>2.0087096748711548E-4</v>
      </c>
      <c r="M59" s="16">
        <f t="shared" si="4"/>
        <v>7.0756234053045736E-4</v>
      </c>
    </row>
    <row r="60" spans="1:13" x14ac:dyDescent="0.3">
      <c r="A60" t="s">
        <v>36</v>
      </c>
      <c r="B60" s="12">
        <v>2013</v>
      </c>
      <c r="C60" s="13">
        <v>757396.07599999988</v>
      </c>
      <c r="D60">
        <v>135565.01100000003</v>
      </c>
      <c r="E60" s="12">
        <v>892590</v>
      </c>
      <c r="F60" s="13">
        <v>431</v>
      </c>
      <c r="G60">
        <v>243</v>
      </c>
      <c r="H60" s="12">
        <v>674</v>
      </c>
      <c r="I60" s="15">
        <f t="shared" si="0"/>
        <v>0.84853748753627067</v>
      </c>
      <c r="J60" s="15">
        <f t="shared" si="1"/>
        <v>0.15187825429368471</v>
      </c>
      <c r="K60" s="14">
        <f t="shared" si="5"/>
        <v>4.8286447305033664E-4</v>
      </c>
      <c r="L60" s="14">
        <f t="shared" si="6"/>
        <v>2.7224145464322926E-4</v>
      </c>
      <c r="M60" s="16">
        <f t="shared" si="4"/>
        <v>7.551059276935659E-4</v>
      </c>
    </row>
    <row r="61" spans="1:13" x14ac:dyDescent="0.3">
      <c r="A61" t="s">
        <v>17</v>
      </c>
      <c r="B61" s="12">
        <v>2010</v>
      </c>
      <c r="C61" s="13">
        <v>758912.55399999989</v>
      </c>
      <c r="D61">
        <v>122781.06600000001</v>
      </c>
      <c r="E61" s="12">
        <v>881278</v>
      </c>
      <c r="F61" s="13">
        <v>477</v>
      </c>
      <c r="G61">
        <v>181</v>
      </c>
      <c r="H61" s="12">
        <v>658</v>
      </c>
      <c r="I61" s="15">
        <f t="shared" si="0"/>
        <v>0.86115000487927751</v>
      </c>
      <c r="J61" s="15">
        <f t="shared" si="1"/>
        <v>0.13932160566813198</v>
      </c>
      <c r="K61" s="14">
        <f t="shared" si="5"/>
        <v>5.4125939828294817E-4</v>
      </c>
      <c r="L61" s="14">
        <f t="shared" si="6"/>
        <v>2.053835452604059E-4</v>
      </c>
      <c r="M61" s="16">
        <f t="shared" si="4"/>
        <v>7.4664294354335407E-4</v>
      </c>
    </row>
    <row r="62" spans="1:13" x14ac:dyDescent="0.3">
      <c r="A62" t="s">
        <v>17</v>
      </c>
      <c r="B62" s="12">
        <v>2011</v>
      </c>
      <c r="C62" s="13">
        <v>763429.57799999998</v>
      </c>
      <c r="D62">
        <v>126582.414</v>
      </c>
      <c r="E62" s="12">
        <v>890856</v>
      </c>
      <c r="F62" s="13">
        <v>451</v>
      </c>
      <c r="G62">
        <v>187</v>
      </c>
      <c r="H62" s="12">
        <v>638</v>
      </c>
      <c r="I62" s="15">
        <f t="shared" si="0"/>
        <v>0.85696181874511701</v>
      </c>
      <c r="J62" s="15">
        <f t="shared" si="1"/>
        <v>0.14209076887847194</v>
      </c>
      <c r="K62" s="14">
        <f t="shared" si="5"/>
        <v>5.0625465844087033E-4</v>
      </c>
      <c r="L62" s="14">
        <f t="shared" si="6"/>
        <v>2.0991046813401942E-4</v>
      </c>
      <c r="M62" s="16">
        <f t="shared" si="4"/>
        <v>7.1616512657488973E-4</v>
      </c>
    </row>
    <row r="63" spans="1:13" x14ac:dyDescent="0.3">
      <c r="A63" t="s">
        <v>17</v>
      </c>
      <c r="B63" s="12">
        <v>2012</v>
      </c>
      <c r="C63" s="13">
        <v>768807.01</v>
      </c>
      <c r="D63">
        <v>130733.015</v>
      </c>
      <c r="E63" s="12">
        <v>900131</v>
      </c>
      <c r="F63" s="13">
        <v>465</v>
      </c>
      <c r="G63">
        <v>196</v>
      </c>
      <c r="H63" s="12">
        <v>661</v>
      </c>
      <c r="I63" s="15">
        <f t="shared" si="0"/>
        <v>0.8541056912827133</v>
      </c>
      <c r="J63" s="15">
        <f t="shared" si="1"/>
        <v>0.14523776539192629</v>
      </c>
      <c r="K63" s="14">
        <f t="shared" si="5"/>
        <v>5.165914739076868E-4</v>
      </c>
      <c r="L63" s="14">
        <f t="shared" si="6"/>
        <v>2.177460836256056E-4</v>
      </c>
      <c r="M63" s="16">
        <f t="shared" si="4"/>
        <v>7.3433755753329237E-4</v>
      </c>
    </row>
    <row r="64" spans="1:13" x14ac:dyDescent="0.3">
      <c r="A64" t="s">
        <v>17</v>
      </c>
      <c r="B64" s="12">
        <v>2013</v>
      </c>
      <c r="C64" s="13">
        <v>773012.60800000001</v>
      </c>
      <c r="D64">
        <v>135397.79</v>
      </c>
      <c r="E64" s="12">
        <v>908446</v>
      </c>
      <c r="F64" s="13">
        <v>459</v>
      </c>
      <c r="G64">
        <v>201</v>
      </c>
      <c r="H64" s="12">
        <v>660</v>
      </c>
      <c r="I64" s="15">
        <f t="shared" si="0"/>
        <v>0.85091750968136792</v>
      </c>
      <c r="J64" s="15">
        <f t="shared" si="1"/>
        <v>0.14904330031724505</v>
      </c>
      <c r="K64" s="14">
        <f t="shared" si="5"/>
        <v>5.0525843033047641E-4</v>
      </c>
      <c r="L64" s="14">
        <f t="shared" si="6"/>
        <v>2.212569596872021E-4</v>
      </c>
      <c r="M64" s="16">
        <f t="shared" si="4"/>
        <v>7.2651539001767859E-4</v>
      </c>
    </row>
    <row r="65" spans="1:13" x14ac:dyDescent="0.3">
      <c r="A65" t="s">
        <v>17</v>
      </c>
      <c r="B65" s="12">
        <v>2014</v>
      </c>
      <c r="C65" s="13">
        <v>776040.3949999999</v>
      </c>
      <c r="D65">
        <v>141084.97</v>
      </c>
      <c r="E65" s="12">
        <v>917060</v>
      </c>
      <c r="F65" s="13">
        <v>432</v>
      </c>
      <c r="G65">
        <v>160</v>
      </c>
      <c r="H65" s="12">
        <v>592</v>
      </c>
      <c r="I65" s="15">
        <f t="shared" si="0"/>
        <v>0.84622641375700602</v>
      </c>
      <c r="J65" s="15">
        <f t="shared" si="1"/>
        <v>0.15384486293154209</v>
      </c>
      <c r="K65" s="14">
        <f t="shared" si="5"/>
        <v>4.7107059516280286E-4</v>
      </c>
      <c r="L65" s="14">
        <f t="shared" si="6"/>
        <v>1.7447059080103811E-4</v>
      </c>
      <c r="M65" s="16">
        <f t="shared" si="4"/>
        <v>6.4554118596384092E-4</v>
      </c>
    </row>
    <row r="66" spans="1:13" x14ac:dyDescent="0.3">
      <c r="A66" t="s">
        <v>17</v>
      </c>
      <c r="B66" s="12">
        <v>2015</v>
      </c>
      <c r="C66" s="13">
        <v>778731.78099999996</v>
      </c>
      <c r="D66">
        <v>147549.38700000002</v>
      </c>
      <c r="E66" s="12">
        <v>926454</v>
      </c>
      <c r="F66" s="13">
        <v>470</v>
      </c>
      <c r="G66">
        <v>194</v>
      </c>
      <c r="H66" s="12">
        <v>664</v>
      </c>
      <c r="I66" s="15">
        <f t="shared" si="0"/>
        <v>0.84055094046763246</v>
      </c>
      <c r="J66" s="15">
        <f t="shared" si="1"/>
        <v>0.15926250736679859</v>
      </c>
      <c r="K66" s="14">
        <f t="shared" si="5"/>
        <v>5.0731067057835572E-4</v>
      </c>
      <c r="L66" s="14">
        <f t="shared" si="6"/>
        <v>2.0940057466425747E-4</v>
      </c>
      <c r="M66" s="16">
        <f t="shared" si="4"/>
        <v>7.1671124524261319E-4</v>
      </c>
    </row>
    <row r="67" spans="1:13" x14ac:dyDescent="0.3">
      <c r="A67" t="s">
        <v>36</v>
      </c>
      <c r="B67" s="12">
        <v>2012</v>
      </c>
      <c r="C67" s="13">
        <v>779322.73699999996</v>
      </c>
      <c r="D67">
        <v>137110.86399999997</v>
      </c>
      <c r="E67" s="12">
        <v>916291</v>
      </c>
      <c r="F67" s="13">
        <v>453</v>
      </c>
      <c r="G67">
        <v>187</v>
      </c>
      <c r="H67" s="12">
        <v>640</v>
      </c>
      <c r="I67" s="15">
        <f t="shared" ref="I67:I130" si="7">C67/E67</f>
        <v>0.85051881662048412</v>
      </c>
      <c r="J67" s="15">
        <f t="shared" ref="J67:J130" si="8">D67/E67</f>
        <v>0.14963681188618022</v>
      </c>
      <c r="K67" s="14">
        <f t="shared" si="5"/>
        <v>4.9438442590836321E-4</v>
      </c>
      <c r="L67" s="14">
        <f t="shared" si="6"/>
        <v>2.0408363718513005E-4</v>
      </c>
      <c r="M67" s="16">
        <f t="shared" ref="M67:M130" si="9">H67/E67</f>
        <v>6.9846806309349326E-4</v>
      </c>
    </row>
    <row r="68" spans="1:13" x14ac:dyDescent="0.3">
      <c r="A68" t="s">
        <v>17</v>
      </c>
      <c r="B68" s="12">
        <v>2016</v>
      </c>
      <c r="C68" s="13">
        <v>781548.20700000005</v>
      </c>
      <c r="D68">
        <v>153659.04</v>
      </c>
      <c r="E68" s="12">
        <v>934695</v>
      </c>
      <c r="F68" s="13">
        <v>437</v>
      </c>
      <c r="G68">
        <v>132</v>
      </c>
      <c r="H68" s="12">
        <v>569</v>
      </c>
      <c r="I68" s="15">
        <f t="shared" si="7"/>
        <v>0.83615319114791464</v>
      </c>
      <c r="J68" s="15">
        <f t="shared" si="8"/>
        <v>0.16439484537736909</v>
      </c>
      <c r="K68" s="14">
        <f t="shared" si="5"/>
        <v>4.6753218964475042E-4</v>
      </c>
      <c r="L68" s="14">
        <f t="shared" si="6"/>
        <v>1.4122253783319693E-4</v>
      </c>
      <c r="M68" s="16">
        <f t="shared" si="9"/>
        <v>6.0875472747794733E-4</v>
      </c>
    </row>
    <row r="69" spans="1:13" x14ac:dyDescent="0.3">
      <c r="A69" t="s">
        <v>17</v>
      </c>
      <c r="B69" s="12">
        <v>2017</v>
      </c>
      <c r="C69" s="13">
        <v>783167</v>
      </c>
      <c r="D69">
        <v>160565</v>
      </c>
      <c r="E69" s="12">
        <v>943732</v>
      </c>
      <c r="F69" s="13">
        <v>434</v>
      </c>
      <c r="G69">
        <v>178</v>
      </c>
      <c r="H69" s="12">
        <v>612</v>
      </c>
      <c r="I69" s="15">
        <f t="shared" si="7"/>
        <v>0.82986165563952474</v>
      </c>
      <c r="J69" s="15">
        <f t="shared" si="8"/>
        <v>0.17013834436047523</v>
      </c>
      <c r="K69" s="14">
        <f t="shared" si="5"/>
        <v>4.5987632081989378E-4</v>
      </c>
      <c r="L69" s="14">
        <f t="shared" si="6"/>
        <v>1.8861286890769837E-4</v>
      </c>
      <c r="M69" s="16">
        <f t="shared" si="9"/>
        <v>6.4848918972759218E-4</v>
      </c>
    </row>
    <row r="70" spans="1:13" x14ac:dyDescent="0.3">
      <c r="A70" t="s">
        <v>36</v>
      </c>
      <c r="B70" s="12">
        <v>2011</v>
      </c>
      <c r="C70" s="13">
        <v>785728.63899999997</v>
      </c>
      <c r="D70">
        <v>135259.59099999999</v>
      </c>
      <c r="E70" s="12">
        <v>921330</v>
      </c>
      <c r="F70" s="13">
        <v>411</v>
      </c>
      <c r="G70">
        <v>207</v>
      </c>
      <c r="H70" s="12">
        <v>618</v>
      </c>
      <c r="I70" s="15">
        <f t="shared" si="7"/>
        <v>0.85281998740950582</v>
      </c>
      <c r="J70" s="15">
        <f t="shared" si="8"/>
        <v>0.14680905972887021</v>
      </c>
      <c r="K70" s="14">
        <f t="shared" si="5"/>
        <v>4.4609423333658949E-4</v>
      </c>
      <c r="L70" s="14">
        <f t="shared" si="6"/>
        <v>2.2467519781185893E-4</v>
      </c>
      <c r="M70" s="16">
        <f t="shared" si="9"/>
        <v>6.7076943114844842E-4</v>
      </c>
    </row>
    <row r="71" spans="1:13" x14ac:dyDescent="0.3">
      <c r="A71" t="s">
        <v>36</v>
      </c>
      <c r="B71" s="12">
        <v>2016</v>
      </c>
      <c r="C71" s="13">
        <v>790314.5190000002</v>
      </c>
      <c r="D71">
        <v>155915.878</v>
      </c>
      <c r="E71" s="12">
        <v>946419</v>
      </c>
      <c r="F71" s="13">
        <v>430</v>
      </c>
      <c r="G71">
        <v>181</v>
      </c>
      <c r="H71" s="12">
        <v>611</v>
      </c>
      <c r="I71" s="15">
        <f t="shared" si="7"/>
        <v>0.83505774820666134</v>
      </c>
      <c r="J71" s="15">
        <f t="shared" si="8"/>
        <v>0.1647429711364628</v>
      </c>
      <c r="K71" s="14">
        <f t="shared" ref="K71:K134" si="10">F71/E71</f>
        <v>4.5434421751887907E-4</v>
      </c>
      <c r="L71" s="14">
        <f t="shared" si="6"/>
        <v>1.912472171416677E-4</v>
      </c>
      <c r="M71" s="16">
        <f t="shared" si="9"/>
        <v>6.4559143466054675E-4</v>
      </c>
    </row>
    <row r="72" spans="1:13" x14ac:dyDescent="0.3">
      <c r="A72" t="s">
        <v>36</v>
      </c>
      <c r="B72" s="12">
        <v>2015</v>
      </c>
      <c r="C72" s="13">
        <v>797319.63699999999</v>
      </c>
      <c r="D72">
        <v>153462.33999999997</v>
      </c>
      <c r="E72" s="12">
        <v>950613</v>
      </c>
      <c r="F72" s="13">
        <v>454</v>
      </c>
      <c r="G72">
        <v>197</v>
      </c>
      <c r="H72" s="12">
        <v>651</v>
      </c>
      <c r="I72" s="15">
        <f t="shared" si="7"/>
        <v>0.83874261871024269</v>
      </c>
      <c r="J72" s="15">
        <f t="shared" si="8"/>
        <v>0.16143513711678673</v>
      </c>
      <c r="K72" s="14">
        <f t="shared" si="10"/>
        <v>4.7758656782518228E-4</v>
      </c>
      <c r="L72" s="14">
        <f t="shared" ref="L72:L135" si="11">G72/E72</f>
        <v>2.072347001355967E-4</v>
      </c>
      <c r="M72" s="16">
        <f t="shared" si="9"/>
        <v>6.8482126796077895E-4</v>
      </c>
    </row>
    <row r="73" spans="1:13" x14ac:dyDescent="0.3">
      <c r="A73" t="s">
        <v>36</v>
      </c>
      <c r="B73" s="12">
        <v>2010</v>
      </c>
      <c r="C73" s="13">
        <v>804009.78</v>
      </c>
      <c r="D73">
        <v>134086.67199999999</v>
      </c>
      <c r="E73" s="12">
        <v>937821</v>
      </c>
      <c r="F73" s="13">
        <v>415</v>
      </c>
      <c r="G73">
        <v>215</v>
      </c>
      <c r="H73" s="12">
        <v>630</v>
      </c>
      <c r="I73" s="15">
        <f t="shared" si="7"/>
        <v>0.85731688669799466</v>
      </c>
      <c r="J73" s="15">
        <f t="shared" si="8"/>
        <v>0.14297682820069074</v>
      </c>
      <c r="K73" s="14">
        <f t="shared" si="10"/>
        <v>4.4251514947948488E-4</v>
      </c>
      <c r="L73" s="14">
        <f t="shared" si="11"/>
        <v>2.2925483647732349E-4</v>
      </c>
      <c r="M73" s="16">
        <f t="shared" si="9"/>
        <v>6.717699859568084E-4</v>
      </c>
    </row>
    <row r="74" spans="1:13" x14ac:dyDescent="0.3">
      <c r="A74" t="s">
        <v>36</v>
      </c>
      <c r="B74" s="12">
        <v>2009</v>
      </c>
      <c r="C74" s="13">
        <v>806748.11399999994</v>
      </c>
      <c r="D74">
        <v>131683.64099999997</v>
      </c>
      <c r="E74" s="12">
        <v>937916</v>
      </c>
      <c r="F74" s="13">
        <v>414</v>
      </c>
      <c r="G74">
        <v>176</v>
      </c>
      <c r="H74" s="12">
        <v>590</v>
      </c>
      <c r="I74" s="15">
        <f t="shared" si="7"/>
        <v>0.86014964453106668</v>
      </c>
      <c r="J74" s="15">
        <f t="shared" si="8"/>
        <v>0.14040025012900939</v>
      </c>
      <c r="K74" s="14">
        <f t="shared" si="10"/>
        <v>4.4140413427215232E-4</v>
      </c>
      <c r="L74" s="14">
        <f t="shared" si="11"/>
        <v>1.8765006674371692E-4</v>
      </c>
      <c r="M74" s="16">
        <f t="shared" si="9"/>
        <v>6.2905420101586919E-4</v>
      </c>
    </row>
    <row r="75" spans="1:13" x14ac:dyDescent="0.3">
      <c r="A75" t="s">
        <v>49</v>
      </c>
      <c r="B75" s="12">
        <v>2017</v>
      </c>
      <c r="C75" s="13">
        <v>885994</v>
      </c>
      <c r="D75">
        <v>170144</v>
      </c>
      <c r="E75" s="12">
        <v>1056138</v>
      </c>
      <c r="F75" s="13">
        <v>426</v>
      </c>
      <c r="G75">
        <v>218</v>
      </c>
      <c r="H75" s="12">
        <v>644</v>
      </c>
      <c r="I75" s="15">
        <f t="shared" si="7"/>
        <v>0.83889984074050927</v>
      </c>
      <c r="J75" s="15">
        <f t="shared" si="8"/>
        <v>0.1611001592594907</v>
      </c>
      <c r="K75" s="14">
        <f t="shared" si="10"/>
        <v>4.0335637956403423E-4</v>
      </c>
      <c r="L75" s="14">
        <f t="shared" si="11"/>
        <v>2.0641241958910673E-4</v>
      </c>
      <c r="M75" s="16">
        <f t="shared" si="9"/>
        <v>6.0976879915314102E-4</v>
      </c>
    </row>
    <row r="76" spans="1:13" x14ac:dyDescent="0.3">
      <c r="A76" t="s">
        <v>49</v>
      </c>
      <c r="B76" s="12">
        <v>2016</v>
      </c>
      <c r="C76" s="13">
        <v>888786.67900000012</v>
      </c>
      <c r="D76">
        <v>165583.04000000004</v>
      </c>
      <c r="E76" s="12">
        <v>1054491</v>
      </c>
      <c r="F76" s="13">
        <v>441</v>
      </c>
      <c r="G76">
        <v>219</v>
      </c>
      <c r="H76" s="12">
        <v>660</v>
      </c>
      <c r="I76" s="15">
        <f t="shared" si="7"/>
        <v>0.84285847769208089</v>
      </c>
      <c r="J76" s="15">
        <f t="shared" si="8"/>
        <v>0.15702650852401778</v>
      </c>
      <c r="K76" s="14">
        <f t="shared" si="10"/>
        <v>4.1821125073613713E-4</v>
      </c>
      <c r="L76" s="14">
        <f t="shared" si="11"/>
        <v>2.0768313812066674E-4</v>
      </c>
      <c r="M76" s="16">
        <f t="shared" si="9"/>
        <v>6.2589438885680385E-4</v>
      </c>
    </row>
    <row r="77" spans="1:13" x14ac:dyDescent="0.3">
      <c r="A77" t="s">
        <v>49</v>
      </c>
      <c r="B77" s="12">
        <v>2015</v>
      </c>
      <c r="C77" s="13">
        <v>892346.34699999995</v>
      </c>
      <c r="D77">
        <v>161790.209</v>
      </c>
      <c r="E77" s="12">
        <v>1053763</v>
      </c>
      <c r="F77" s="13">
        <v>401</v>
      </c>
      <c r="G77">
        <v>266</v>
      </c>
      <c r="H77" s="12">
        <v>667</v>
      </c>
      <c r="I77" s="15">
        <f t="shared" si="7"/>
        <v>0.84681882643440698</v>
      </c>
      <c r="J77" s="15">
        <f t="shared" si="8"/>
        <v>0.15353567073431124</v>
      </c>
      <c r="K77" s="14">
        <f t="shared" si="10"/>
        <v>3.8054097553244894E-4</v>
      </c>
      <c r="L77" s="14">
        <f t="shared" si="11"/>
        <v>2.5242867703648733E-4</v>
      </c>
      <c r="M77" s="16">
        <f t="shared" si="9"/>
        <v>6.3296965256893632E-4</v>
      </c>
    </row>
    <row r="78" spans="1:13" x14ac:dyDescent="0.3">
      <c r="A78" t="s">
        <v>49</v>
      </c>
      <c r="B78" s="12">
        <v>2014</v>
      </c>
      <c r="C78" s="13">
        <v>892939.52099999995</v>
      </c>
      <c r="D78">
        <v>158893.87600000002</v>
      </c>
      <c r="E78" s="12">
        <v>1053252</v>
      </c>
      <c r="F78" s="13">
        <v>471</v>
      </c>
      <c r="G78">
        <v>199</v>
      </c>
      <c r="H78" s="12">
        <v>670</v>
      </c>
      <c r="I78" s="15">
        <f t="shared" si="7"/>
        <v>0.84779285584076736</v>
      </c>
      <c r="J78" s="15">
        <f t="shared" si="8"/>
        <v>0.15086026515971487</v>
      </c>
      <c r="K78" s="14">
        <f t="shared" si="10"/>
        <v>4.4718642831914867E-4</v>
      </c>
      <c r="L78" s="14">
        <f t="shared" si="11"/>
        <v>1.8893863956583989E-4</v>
      </c>
      <c r="M78" s="16">
        <f t="shared" si="9"/>
        <v>6.3612506788498862E-4</v>
      </c>
    </row>
    <row r="79" spans="1:13" x14ac:dyDescent="0.3">
      <c r="A79" t="s">
        <v>49</v>
      </c>
      <c r="B79" s="12">
        <v>2013</v>
      </c>
      <c r="C79" s="13">
        <v>897377.82699999993</v>
      </c>
      <c r="D79">
        <v>155903.367</v>
      </c>
      <c r="E79" s="12">
        <v>1051695</v>
      </c>
      <c r="F79" s="13">
        <v>452</v>
      </c>
      <c r="G79">
        <v>187</v>
      </c>
      <c r="H79" s="12">
        <v>639</v>
      </c>
      <c r="I79" s="15">
        <f t="shared" si="7"/>
        <v>0.85326813096953003</v>
      </c>
      <c r="J79" s="15">
        <f t="shared" si="8"/>
        <v>0.14824009527477072</v>
      </c>
      <c r="K79" s="14">
        <f t="shared" si="10"/>
        <v>4.2978239888941187E-4</v>
      </c>
      <c r="L79" s="14">
        <f t="shared" si="11"/>
        <v>1.7780820485026552E-4</v>
      </c>
      <c r="M79" s="16">
        <f t="shared" si="9"/>
        <v>6.0759060373967737E-4</v>
      </c>
    </row>
    <row r="80" spans="1:13" x14ac:dyDescent="0.3">
      <c r="A80" t="s">
        <v>49</v>
      </c>
      <c r="B80" s="12">
        <v>2012</v>
      </c>
      <c r="C80" s="13">
        <v>898907.51400000008</v>
      </c>
      <c r="D80">
        <v>152633.95199999999</v>
      </c>
      <c r="E80" s="12">
        <v>1052471</v>
      </c>
      <c r="F80" s="13">
        <v>394</v>
      </c>
      <c r="G80">
        <v>193</v>
      </c>
      <c r="H80" s="12">
        <v>587</v>
      </c>
      <c r="I80" s="15">
        <f t="shared" si="7"/>
        <v>0.85409243010021185</v>
      </c>
      <c r="J80" s="15">
        <f t="shared" si="8"/>
        <v>0.1450243778688439</v>
      </c>
      <c r="K80" s="14">
        <f t="shared" si="10"/>
        <v>3.7435710817685237E-4</v>
      </c>
      <c r="L80" s="14">
        <f t="shared" si="11"/>
        <v>1.8337797430998098E-4</v>
      </c>
      <c r="M80" s="16">
        <f t="shared" si="9"/>
        <v>5.577350824868334E-4</v>
      </c>
    </row>
    <row r="81" spans="1:13" x14ac:dyDescent="0.3">
      <c r="A81" t="s">
        <v>49</v>
      </c>
      <c r="B81" s="12">
        <v>2011</v>
      </c>
      <c r="C81" s="13">
        <v>903532.93699999992</v>
      </c>
      <c r="D81">
        <v>151001.52800000002</v>
      </c>
      <c r="E81" s="12">
        <v>1053959</v>
      </c>
      <c r="F81" s="13">
        <v>429</v>
      </c>
      <c r="G81">
        <v>227</v>
      </c>
      <c r="H81" s="12">
        <v>656</v>
      </c>
      <c r="I81" s="15">
        <f t="shared" si="7"/>
        <v>0.85727522322974603</v>
      </c>
      <c r="J81" s="15">
        <f t="shared" si="8"/>
        <v>0.14327077998290258</v>
      </c>
      <c r="K81" s="14">
        <f t="shared" si="10"/>
        <v>4.0703670636144291E-4</v>
      </c>
      <c r="L81" s="14">
        <f t="shared" si="11"/>
        <v>2.1537839707237187E-4</v>
      </c>
      <c r="M81" s="16">
        <f t="shared" si="9"/>
        <v>6.2241510343381476E-4</v>
      </c>
    </row>
    <row r="82" spans="1:13" x14ac:dyDescent="0.3">
      <c r="A82" t="s">
        <v>49</v>
      </c>
      <c r="B82" s="12">
        <v>2010</v>
      </c>
      <c r="C82" s="13">
        <v>905806.72899999993</v>
      </c>
      <c r="D82">
        <v>149863.109</v>
      </c>
      <c r="E82" s="12">
        <v>1056389</v>
      </c>
      <c r="F82" s="13">
        <v>387</v>
      </c>
      <c r="G82">
        <v>202</v>
      </c>
      <c r="H82" s="12">
        <v>589</v>
      </c>
      <c r="I82" s="15">
        <f t="shared" si="7"/>
        <v>0.85745566169280441</v>
      </c>
      <c r="J82" s="15">
        <f t="shared" si="8"/>
        <v>0.14186356446346943</v>
      </c>
      <c r="K82" s="14">
        <f t="shared" si="10"/>
        <v>3.6634232276178569E-4</v>
      </c>
      <c r="L82" s="14">
        <f t="shared" si="11"/>
        <v>1.9121743978780544E-4</v>
      </c>
      <c r="M82" s="16">
        <f t="shared" si="9"/>
        <v>5.5755976254959108E-4</v>
      </c>
    </row>
    <row r="83" spans="1:13" x14ac:dyDescent="0.3">
      <c r="A83" t="s">
        <v>49</v>
      </c>
      <c r="B83" s="12">
        <v>2009</v>
      </c>
      <c r="C83" s="13">
        <v>907960.3679999999</v>
      </c>
      <c r="D83">
        <v>149383.14499999999</v>
      </c>
      <c r="E83" s="12">
        <v>1057381</v>
      </c>
      <c r="F83" s="13">
        <v>466</v>
      </c>
      <c r="G83">
        <v>224</v>
      </c>
      <c r="H83" s="12">
        <v>690</v>
      </c>
      <c r="I83" s="15">
        <f t="shared" si="7"/>
        <v>0.8586879923130829</v>
      </c>
      <c r="J83" s="15">
        <f t="shared" si="8"/>
        <v>0.14127655499767822</v>
      </c>
      <c r="K83" s="14">
        <f t="shared" si="10"/>
        <v>4.4071153160497493E-4</v>
      </c>
      <c r="L83" s="14">
        <f t="shared" si="11"/>
        <v>2.1184416969852873E-4</v>
      </c>
      <c r="M83" s="16">
        <f t="shared" si="9"/>
        <v>6.5255570130350363E-4</v>
      </c>
    </row>
    <row r="84" spans="1:13" x14ac:dyDescent="0.3">
      <c r="A84" t="s">
        <v>29</v>
      </c>
      <c r="B84" s="12">
        <v>2017</v>
      </c>
      <c r="C84" s="13">
        <v>1011731</v>
      </c>
      <c r="D84">
        <v>231559</v>
      </c>
      <c r="E84" s="12">
        <v>1243290</v>
      </c>
      <c r="F84" s="13">
        <v>397</v>
      </c>
      <c r="G84">
        <v>270</v>
      </c>
      <c r="H84" s="12">
        <v>667</v>
      </c>
      <c r="I84" s="15">
        <f t="shared" si="7"/>
        <v>0.81375302624488255</v>
      </c>
      <c r="J84" s="15">
        <f t="shared" si="8"/>
        <v>0.18624697375511748</v>
      </c>
      <c r="K84" s="14">
        <f t="shared" si="10"/>
        <v>3.1931407797054589E-4</v>
      </c>
      <c r="L84" s="14">
        <f t="shared" si="11"/>
        <v>2.1716574572304127E-4</v>
      </c>
      <c r="M84" s="16">
        <f t="shared" si="9"/>
        <v>5.3647982369358716E-4</v>
      </c>
    </row>
    <row r="85" spans="1:13" x14ac:dyDescent="0.3">
      <c r="A85" t="s">
        <v>29</v>
      </c>
      <c r="B85" s="12">
        <v>2016</v>
      </c>
      <c r="C85" s="13">
        <v>1033501.1359999999</v>
      </c>
      <c r="D85">
        <v>228693.141</v>
      </c>
      <c r="E85" s="12">
        <v>1262864</v>
      </c>
      <c r="F85" s="13">
        <v>508</v>
      </c>
      <c r="G85">
        <v>190</v>
      </c>
      <c r="H85" s="12">
        <v>698</v>
      </c>
      <c r="I85" s="15">
        <f t="shared" si="7"/>
        <v>0.81837880880284808</v>
      </c>
      <c r="J85" s="15">
        <f t="shared" si="8"/>
        <v>0.1810908704341877</v>
      </c>
      <c r="K85" s="14">
        <f t="shared" si="10"/>
        <v>4.0226025922031192E-4</v>
      </c>
      <c r="L85" s="14">
        <f t="shared" si="11"/>
        <v>1.5045167175562849E-4</v>
      </c>
      <c r="M85" s="16">
        <f t="shared" si="9"/>
        <v>5.5271193097594044E-4</v>
      </c>
    </row>
    <row r="86" spans="1:13" x14ac:dyDescent="0.3">
      <c r="A86" t="s">
        <v>39</v>
      </c>
      <c r="B86" s="12">
        <v>2015</v>
      </c>
      <c r="C86" s="13">
        <v>1060674.743</v>
      </c>
      <c r="D86">
        <v>184193.99400000001</v>
      </c>
      <c r="E86" s="12">
        <v>1244818</v>
      </c>
      <c r="F86" s="13">
        <v>411</v>
      </c>
      <c r="G86">
        <v>245</v>
      </c>
      <c r="H86" s="12">
        <v>656</v>
      </c>
      <c r="I86" s="15">
        <f t="shared" si="7"/>
        <v>0.85207214468299786</v>
      </c>
      <c r="J86" s="15">
        <f t="shared" si="8"/>
        <v>0.14796861388572466</v>
      </c>
      <c r="K86" s="14">
        <f t="shared" si="10"/>
        <v>3.3016874755988426E-4</v>
      </c>
      <c r="L86" s="14">
        <f t="shared" si="11"/>
        <v>1.9681592007827651E-4</v>
      </c>
      <c r="M86" s="16">
        <f t="shared" si="9"/>
        <v>5.2698466763816077E-4</v>
      </c>
    </row>
    <row r="87" spans="1:13" x14ac:dyDescent="0.3">
      <c r="A87" t="s">
        <v>29</v>
      </c>
      <c r="B87" s="12">
        <v>2015</v>
      </c>
      <c r="C87" s="13">
        <v>1067820.7759999998</v>
      </c>
      <c r="D87">
        <v>226323.83199999999</v>
      </c>
      <c r="E87" s="12">
        <v>1293764</v>
      </c>
      <c r="F87" s="13">
        <v>382</v>
      </c>
      <c r="G87">
        <v>296</v>
      </c>
      <c r="H87" s="12">
        <v>678</v>
      </c>
      <c r="I87" s="15">
        <f t="shared" si="7"/>
        <v>0.82535978431924206</v>
      </c>
      <c r="J87" s="15">
        <f t="shared" si="8"/>
        <v>0.17493440225574369</v>
      </c>
      <c r="K87" s="14">
        <f t="shared" si="10"/>
        <v>2.9526250537192255E-4</v>
      </c>
      <c r="L87" s="14">
        <f t="shared" si="11"/>
        <v>2.2878979473845307E-4</v>
      </c>
      <c r="M87" s="16">
        <f t="shared" si="9"/>
        <v>5.2405230011037557E-4</v>
      </c>
    </row>
    <row r="88" spans="1:13" x14ac:dyDescent="0.3">
      <c r="A88" t="s">
        <v>39</v>
      </c>
      <c r="B88" s="12">
        <v>2011</v>
      </c>
      <c r="C88" s="13">
        <v>1091366.7320000001</v>
      </c>
      <c r="D88">
        <v>164747.16699999999</v>
      </c>
      <c r="E88" s="12">
        <v>1255618</v>
      </c>
      <c r="F88" s="13">
        <v>431</v>
      </c>
      <c r="G88">
        <v>220</v>
      </c>
      <c r="H88" s="12">
        <v>651</v>
      </c>
      <c r="I88" s="15">
        <f t="shared" si="7"/>
        <v>0.8691869119429636</v>
      </c>
      <c r="J88" s="15">
        <f t="shared" si="8"/>
        <v>0.13120803221999047</v>
      </c>
      <c r="K88" s="14">
        <f t="shared" si="10"/>
        <v>3.4325726455020555E-4</v>
      </c>
      <c r="L88" s="14">
        <f t="shared" si="11"/>
        <v>1.752125248284112E-4</v>
      </c>
      <c r="M88" s="16">
        <f t="shared" si="9"/>
        <v>5.1846978937861675E-4</v>
      </c>
    </row>
    <row r="89" spans="1:13" x14ac:dyDescent="0.3">
      <c r="A89" t="s">
        <v>39</v>
      </c>
      <c r="B89" s="12">
        <v>2014</v>
      </c>
      <c r="C89" s="13">
        <v>1091816.0659999999</v>
      </c>
      <c r="D89">
        <v>186227.503</v>
      </c>
      <c r="E89" s="12">
        <v>1277778</v>
      </c>
      <c r="F89" s="13">
        <v>440</v>
      </c>
      <c r="G89">
        <v>203</v>
      </c>
      <c r="H89" s="12">
        <v>643</v>
      </c>
      <c r="I89" s="15">
        <f t="shared" si="7"/>
        <v>0.8544645987018088</v>
      </c>
      <c r="J89" s="15">
        <f t="shared" si="8"/>
        <v>0.14574323787074123</v>
      </c>
      <c r="K89" s="14">
        <f t="shared" si="10"/>
        <v>3.4434776620038851E-4</v>
      </c>
      <c r="L89" s="14">
        <f t="shared" si="11"/>
        <v>1.588695375879065E-4</v>
      </c>
      <c r="M89" s="16">
        <f t="shared" si="9"/>
        <v>5.0321730378829501E-4</v>
      </c>
    </row>
    <row r="90" spans="1:13" x14ac:dyDescent="0.3">
      <c r="A90" t="s">
        <v>21</v>
      </c>
      <c r="B90" s="12">
        <v>2009</v>
      </c>
      <c r="C90" s="13">
        <v>1101746.827</v>
      </c>
      <c r="D90">
        <v>180646.57</v>
      </c>
      <c r="E90" s="12">
        <v>1280241</v>
      </c>
      <c r="F90" s="13">
        <v>459</v>
      </c>
      <c r="G90">
        <v>241</v>
      </c>
      <c r="H90" s="12">
        <v>700</v>
      </c>
      <c r="I90" s="15">
        <f t="shared" si="7"/>
        <v>0.86057767795282303</v>
      </c>
      <c r="J90" s="15">
        <f t="shared" si="8"/>
        <v>0.1411035656567787</v>
      </c>
      <c r="K90" s="14">
        <f t="shared" si="10"/>
        <v>3.5852624623020199E-4</v>
      </c>
      <c r="L90" s="14">
        <f t="shared" si="11"/>
        <v>1.8824580684418012E-4</v>
      </c>
      <c r="M90" s="16">
        <f t="shared" si="9"/>
        <v>5.4677205307438208E-4</v>
      </c>
    </row>
    <row r="91" spans="1:13" x14ac:dyDescent="0.3">
      <c r="A91" t="s">
        <v>29</v>
      </c>
      <c r="B91" s="12">
        <v>2014</v>
      </c>
      <c r="C91" s="13">
        <v>1102122.1329999999</v>
      </c>
      <c r="D91">
        <v>226674.226</v>
      </c>
      <c r="E91" s="12">
        <v>1328535</v>
      </c>
      <c r="F91" s="13">
        <v>462</v>
      </c>
      <c r="G91">
        <v>187</v>
      </c>
      <c r="H91" s="12">
        <v>649</v>
      </c>
      <c r="I91" s="15">
        <f t="shared" si="7"/>
        <v>0.82957704012314315</v>
      </c>
      <c r="J91" s="15">
        <f t="shared" si="8"/>
        <v>0.17061968709894734</v>
      </c>
      <c r="K91" s="14">
        <f t="shared" si="10"/>
        <v>3.4775147060483915E-4</v>
      </c>
      <c r="L91" s="14">
        <f t="shared" si="11"/>
        <v>1.4075654762576824E-4</v>
      </c>
      <c r="M91" s="16">
        <f t="shared" si="9"/>
        <v>4.8850801823060736E-4</v>
      </c>
    </row>
    <row r="92" spans="1:13" x14ac:dyDescent="0.3">
      <c r="A92" t="s">
        <v>29</v>
      </c>
      <c r="B92" s="12">
        <v>2012</v>
      </c>
      <c r="C92" s="13">
        <v>1102380.656</v>
      </c>
      <c r="D92">
        <v>209726.86400000003</v>
      </c>
      <c r="E92" s="12">
        <v>1311652</v>
      </c>
      <c r="F92" s="13">
        <v>426</v>
      </c>
      <c r="G92">
        <v>194</v>
      </c>
      <c r="H92" s="12">
        <v>620</v>
      </c>
      <c r="I92" s="15">
        <f t="shared" si="7"/>
        <v>0.84045208332697996</v>
      </c>
      <c r="J92" s="15">
        <f t="shared" si="8"/>
        <v>0.15989520391079343</v>
      </c>
      <c r="K92" s="14">
        <f t="shared" si="10"/>
        <v>3.2478126820223658E-4</v>
      </c>
      <c r="L92" s="14">
        <f t="shared" si="11"/>
        <v>1.4790508458036126E-4</v>
      </c>
      <c r="M92" s="16">
        <f t="shared" si="9"/>
        <v>4.7268635278259783E-4</v>
      </c>
    </row>
    <row r="93" spans="1:13" x14ac:dyDescent="0.3">
      <c r="A93" t="s">
        <v>29</v>
      </c>
      <c r="B93" s="12">
        <v>2013</v>
      </c>
      <c r="C93" s="13">
        <v>1109160.132</v>
      </c>
      <c r="D93">
        <v>220400.67299999998</v>
      </c>
      <c r="E93" s="12">
        <v>1328320</v>
      </c>
      <c r="F93" s="13">
        <v>397</v>
      </c>
      <c r="G93">
        <v>247</v>
      </c>
      <c r="H93" s="12">
        <v>644</v>
      </c>
      <c r="I93" s="15">
        <f t="shared" si="7"/>
        <v>0.8350097356058781</v>
      </c>
      <c r="J93" s="15">
        <f t="shared" si="8"/>
        <v>0.16592438042038063</v>
      </c>
      <c r="K93" s="14">
        <f t="shared" si="10"/>
        <v>2.9887376535774513E-4</v>
      </c>
      <c r="L93" s="14">
        <f t="shared" si="11"/>
        <v>1.8594916887496989E-4</v>
      </c>
      <c r="M93" s="16">
        <f t="shared" si="9"/>
        <v>4.8482293423271499E-4</v>
      </c>
    </row>
    <row r="94" spans="1:13" x14ac:dyDescent="0.3">
      <c r="A94" t="s">
        <v>39</v>
      </c>
      <c r="B94" s="12">
        <v>2017</v>
      </c>
      <c r="C94" s="13">
        <v>1115419</v>
      </c>
      <c r="D94">
        <v>216890</v>
      </c>
      <c r="E94" s="12">
        <v>1332309</v>
      </c>
      <c r="F94" s="13">
        <v>516</v>
      </c>
      <c r="G94">
        <v>219</v>
      </c>
      <c r="H94" s="12">
        <v>735</v>
      </c>
      <c r="I94" s="15">
        <f t="shared" si="7"/>
        <v>0.83720743461164038</v>
      </c>
      <c r="J94" s="15">
        <f t="shared" si="8"/>
        <v>0.16279256538835959</v>
      </c>
      <c r="K94" s="14">
        <f t="shared" si="10"/>
        <v>3.8729754133613151E-4</v>
      </c>
      <c r="L94" s="14">
        <f t="shared" si="11"/>
        <v>1.6437628207870698E-4</v>
      </c>
      <c r="M94" s="16">
        <f t="shared" si="9"/>
        <v>5.516738234148384E-4</v>
      </c>
    </row>
    <row r="95" spans="1:13" x14ac:dyDescent="0.3">
      <c r="A95" t="s">
        <v>39</v>
      </c>
      <c r="B95" s="12">
        <v>2016</v>
      </c>
      <c r="C95" s="13">
        <v>1116633.7350000003</v>
      </c>
      <c r="D95">
        <v>210513.984</v>
      </c>
      <c r="E95" s="12">
        <v>1327503</v>
      </c>
      <c r="F95" s="13">
        <v>416</v>
      </c>
      <c r="G95">
        <v>194</v>
      </c>
      <c r="H95" s="12">
        <v>610</v>
      </c>
      <c r="I95" s="15">
        <f t="shared" si="7"/>
        <v>0.84115345502044092</v>
      </c>
      <c r="J95" s="15">
        <f t="shared" si="8"/>
        <v>0.15857891394595719</v>
      </c>
      <c r="K95" s="14">
        <f t="shared" si="10"/>
        <v>3.1337028993531462E-4</v>
      </c>
      <c r="L95" s="14">
        <f t="shared" si="11"/>
        <v>1.4613902944098808E-4</v>
      </c>
      <c r="M95" s="16">
        <f t="shared" si="9"/>
        <v>4.5950931937630273E-4</v>
      </c>
    </row>
    <row r="96" spans="1:13" x14ac:dyDescent="0.3">
      <c r="A96" t="s">
        <v>29</v>
      </c>
      <c r="B96" s="12">
        <v>2009</v>
      </c>
      <c r="C96" s="13">
        <v>1119330.628</v>
      </c>
      <c r="D96">
        <v>197784.867</v>
      </c>
      <c r="E96" s="12">
        <v>1316380</v>
      </c>
      <c r="F96" s="13">
        <v>398</v>
      </c>
      <c r="G96">
        <v>198</v>
      </c>
      <c r="H96" s="12">
        <v>596</v>
      </c>
      <c r="I96" s="15">
        <f t="shared" si="7"/>
        <v>0.85030965830535254</v>
      </c>
      <c r="J96" s="15">
        <f t="shared" si="8"/>
        <v>0.15024906713866817</v>
      </c>
      <c r="K96" s="14">
        <f t="shared" si="10"/>
        <v>3.0234430787462588E-4</v>
      </c>
      <c r="L96" s="14">
        <f t="shared" si="11"/>
        <v>1.5041249487230131E-4</v>
      </c>
      <c r="M96" s="16">
        <f t="shared" si="9"/>
        <v>4.5275680274692716E-4</v>
      </c>
    </row>
    <row r="97" spans="1:13" x14ac:dyDescent="0.3">
      <c r="A97" t="s">
        <v>29</v>
      </c>
      <c r="B97" s="12">
        <v>2011</v>
      </c>
      <c r="C97" s="13">
        <v>1123918.1440000001</v>
      </c>
      <c r="D97">
        <v>205112.72999999998</v>
      </c>
      <c r="E97" s="12">
        <v>1328640</v>
      </c>
      <c r="F97" s="13">
        <v>410</v>
      </c>
      <c r="G97">
        <v>263</v>
      </c>
      <c r="H97" s="12">
        <v>673</v>
      </c>
      <c r="I97" s="15">
        <f t="shared" si="7"/>
        <v>0.84591623314065523</v>
      </c>
      <c r="J97" s="15">
        <f t="shared" si="8"/>
        <v>0.15437795791184969</v>
      </c>
      <c r="K97" s="14">
        <f t="shared" si="10"/>
        <v>3.0858622350674373E-4</v>
      </c>
      <c r="L97" s="14">
        <f t="shared" si="11"/>
        <v>1.9794677263969171E-4</v>
      </c>
      <c r="M97" s="16">
        <f t="shared" si="9"/>
        <v>5.0653299614643549E-4</v>
      </c>
    </row>
    <row r="98" spans="1:13" x14ac:dyDescent="0.3">
      <c r="A98" t="s">
        <v>29</v>
      </c>
      <c r="B98" s="12">
        <v>2010</v>
      </c>
      <c r="C98" s="13">
        <v>1124619.4280000001</v>
      </c>
      <c r="D98">
        <v>203415.772</v>
      </c>
      <c r="E98" s="12">
        <v>1327665</v>
      </c>
      <c r="F98" s="13">
        <v>430</v>
      </c>
      <c r="G98">
        <v>213</v>
      </c>
      <c r="H98" s="12">
        <v>643</v>
      </c>
      <c r="I98" s="15">
        <f t="shared" si="7"/>
        <v>0.84706565888232355</v>
      </c>
      <c r="J98" s="15">
        <f t="shared" si="8"/>
        <v>0.15321317651666647</v>
      </c>
      <c r="K98" s="14">
        <f t="shared" si="10"/>
        <v>3.2387688159287169E-4</v>
      </c>
      <c r="L98" s="14">
        <f t="shared" si="11"/>
        <v>1.6043203669600389E-4</v>
      </c>
      <c r="M98" s="16">
        <f t="shared" si="9"/>
        <v>4.8430891828887558E-4</v>
      </c>
    </row>
    <row r="99" spans="1:13" x14ac:dyDescent="0.3">
      <c r="A99" t="s">
        <v>39</v>
      </c>
      <c r="B99" s="12">
        <v>2013</v>
      </c>
      <c r="C99" s="13">
        <v>1132052.095</v>
      </c>
      <c r="D99">
        <v>186859.56200000003</v>
      </c>
      <c r="E99" s="12">
        <v>1319171</v>
      </c>
      <c r="F99" s="13">
        <v>433</v>
      </c>
      <c r="G99">
        <v>236</v>
      </c>
      <c r="H99" s="12">
        <v>669</v>
      </c>
      <c r="I99" s="15">
        <f t="shared" si="7"/>
        <v>0.85815417030847396</v>
      </c>
      <c r="J99" s="15">
        <f t="shared" si="8"/>
        <v>0.14164923425393677</v>
      </c>
      <c r="K99" s="14">
        <f t="shared" si="10"/>
        <v>3.2823644546461374E-4</v>
      </c>
      <c r="L99" s="14">
        <f t="shared" si="11"/>
        <v>1.7890023355577101E-4</v>
      </c>
      <c r="M99" s="16">
        <f t="shared" si="9"/>
        <v>5.0713667902038478E-4</v>
      </c>
    </row>
    <row r="100" spans="1:13" x14ac:dyDescent="0.3">
      <c r="A100" t="s">
        <v>39</v>
      </c>
      <c r="B100" s="12">
        <v>2012</v>
      </c>
      <c r="C100" s="13">
        <v>1137306.324</v>
      </c>
      <c r="D100">
        <v>181157.38500000001</v>
      </c>
      <c r="E100" s="12">
        <v>1317474</v>
      </c>
      <c r="F100" s="13">
        <v>411</v>
      </c>
      <c r="G100">
        <v>253</v>
      </c>
      <c r="H100" s="12">
        <v>664</v>
      </c>
      <c r="I100" s="15">
        <f t="shared" si="7"/>
        <v>0.86324764207870519</v>
      </c>
      <c r="J100" s="15">
        <f t="shared" si="8"/>
        <v>0.13750357502311242</v>
      </c>
      <c r="K100" s="14">
        <f t="shared" si="10"/>
        <v>3.1196061554155909E-4</v>
      </c>
      <c r="L100" s="14">
        <f t="shared" si="11"/>
        <v>1.9203415019954854E-4</v>
      </c>
      <c r="M100" s="16">
        <f t="shared" si="9"/>
        <v>5.0399476574110758E-4</v>
      </c>
    </row>
    <row r="101" spans="1:13" x14ac:dyDescent="0.3">
      <c r="A101" t="s">
        <v>39</v>
      </c>
      <c r="B101" s="12">
        <v>2010</v>
      </c>
      <c r="C101" s="13">
        <v>1143077.3500000001</v>
      </c>
      <c r="D101">
        <v>170318.71800000002</v>
      </c>
      <c r="E101" s="12">
        <v>1313939</v>
      </c>
      <c r="F101" s="13">
        <v>399</v>
      </c>
      <c r="G101">
        <v>205</v>
      </c>
      <c r="H101" s="12">
        <v>604</v>
      </c>
      <c r="I101" s="15">
        <f t="shared" si="7"/>
        <v>0.86996226613259831</v>
      </c>
      <c r="J101" s="15">
        <f t="shared" si="8"/>
        <v>0.12962452442617201</v>
      </c>
      <c r="K101" s="14">
        <f t="shared" si="10"/>
        <v>3.0366706521383415E-4</v>
      </c>
      <c r="L101" s="14">
        <f t="shared" si="11"/>
        <v>1.560194194707669E-4</v>
      </c>
      <c r="M101" s="16">
        <f t="shared" si="9"/>
        <v>4.5968648468460105E-4</v>
      </c>
    </row>
    <row r="102" spans="1:13" x14ac:dyDescent="0.3">
      <c r="A102" t="s">
        <v>39</v>
      </c>
      <c r="B102" s="12">
        <v>2009</v>
      </c>
      <c r="C102" s="13">
        <v>1146953.0279999999</v>
      </c>
      <c r="D102">
        <v>169178.11799999999</v>
      </c>
      <c r="E102" s="12">
        <v>1315419</v>
      </c>
      <c r="F102" s="13">
        <v>385</v>
      </c>
      <c r="G102">
        <v>193</v>
      </c>
      <c r="H102" s="12">
        <v>578</v>
      </c>
      <c r="I102" s="15">
        <f t="shared" si="7"/>
        <v>0.87192980183500457</v>
      </c>
      <c r="J102" s="15">
        <f t="shared" si="8"/>
        <v>0.12861158155690317</v>
      </c>
      <c r="K102" s="14">
        <f t="shared" si="10"/>
        <v>2.9268240765870036E-4</v>
      </c>
      <c r="L102" s="14">
        <f t="shared" si="11"/>
        <v>1.4672131085228358E-4</v>
      </c>
      <c r="M102" s="16">
        <f t="shared" si="9"/>
        <v>4.3940371851098394E-4</v>
      </c>
    </row>
    <row r="103" spans="1:13" x14ac:dyDescent="0.3">
      <c r="A103" t="s">
        <v>21</v>
      </c>
      <c r="B103" s="12">
        <v>2010</v>
      </c>
      <c r="C103" s="13">
        <v>1147748.098</v>
      </c>
      <c r="D103">
        <v>185908.43599999999</v>
      </c>
      <c r="E103" s="12">
        <v>1333591</v>
      </c>
      <c r="F103" s="13">
        <v>455</v>
      </c>
      <c r="G103">
        <v>258</v>
      </c>
      <c r="H103" s="12">
        <v>713</v>
      </c>
      <c r="I103" s="15">
        <f t="shared" si="7"/>
        <v>0.86064475390130857</v>
      </c>
      <c r="J103" s="15">
        <f t="shared" si="8"/>
        <v>0.1394043871021925</v>
      </c>
      <c r="K103" s="14">
        <f t="shared" si="10"/>
        <v>3.4118406617921089E-4</v>
      </c>
      <c r="L103" s="14">
        <f t="shared" si="11"/>
        <v>1.9346261334997011E-4</v>
      </c>
      <c r="M103" s="16">
        <f t="shared" si="9"/>
        <v>5.3464667952918103E-4</v>
      </c>
    </row>
    <row r="104" spans="1:13" x14ac:dyDescent="0.3">
      <c r="A104" t="s">
        <v>21</v>
      </c>
      <c r="B104" s="12">
        <v>2011</v>
      </c>
      <c r="C104" s="13">
        <v>1156737.689</v>
      </c>
      <c r="D104">
        <v>191821.69</v>
      </c>
      <c r="E104" s="12">
        <v>1346554</v>
      </c>
      <c r="F104" s="13">
        <v>437</v>
      </c>
      <c r="G104">
        <v>286</v>
      </c>
      <c r="H104" s="12">
        <v>723</v>
      </c>
      <c r="I104" s="15">
        <f t="shared" si="7"/>
        <v>0.85903550024729791</v>
      </c>
      <c r="J104" s="15">
        <f t="shared" si="8"/>
        <v>0.1424537671716099</v>
      </c>
      <c r="K104" s="14">
        <f t="shared" si="10"/>
        <v>3.245321019431824E-4</v>
      </c>
      <c r="L104" s="14">
        <f t="shared" si="11"/>
        <v>2.1239400722139625E-4</v>
      </c>
      <c r="M104" s="16">
        <f t="shared" si="9"/>
        <v>5.369261091645786E-4</v>
      </c>
    </row>
    <row r="105" spans="1:13" x14ac:dyDescent="0.3">
      <c r="A105" t="s">
        <v>21</v>
      </c>
      <c r="B105" s="12">
        <v>2012</v>
      </c>
      <c r="C105" s="13">
        <v>1164954.3370000001</v>
      </c>
      <c r="D105">
        <v>197109.54500000004</v>
      </c>
      <c r="E105" s="12">
        <v>1362730</v>
      </c>
      <c r="F105" s="13">
        <v>416</v>
      </c>
      <c r="G105">
        <v>349</v>
      </c>
      <c r="H105" s="12">
        <v>765</v>
      </c>
      <c r="I105" s="15">
        <f t="shared" si="7"/>
        <v>0.85486804943018802</v>
      </c>
      <c r="J105" s="15">
        <f t="shared" si="8"/>
        <v>0.14464313913981497</v>
      </c>
      <c r="K105" s="14">
        <f t="shared" si="10"/>
        <v>3.0526956917364408E-4</v>
      </c>
      <c r="L105" s="14">
        <f t="shared" si="11"/>
        <v>2.5610355683077353E-4</v>
      </c>
      <c r="M105" s="16">
        <f t="shared" si="9"/>
        <v>5.6137312600441761E-4</v>
      </c>
    </row>
    <row r="106" spans="1:13" x14ac:dyDescent="0.3">
      <c r="A106" t="s">
        <v>21</v>
      </c>
      <c r="B106" s="12">
        <v>2013</v>
      </c>
      <c r="C106" s="13">
        <v>1169849.7549999999</v>
      </c>
      <c r="D106">
        <v>202208.25300000003</v>
      </c>
      <c r="E106" s="12">
        <v>1376298</v>
      </c>
      <c r="F106" s="13">
        <v>385</v>
      </c>
      <c r="G106">
        <v>382</v>
      </c>
      <c r="H106" s="12">
        <v>767</v>
      </c>
      <c r="I106" s="15">
        <f t="shared" si="7"/>
        <v>0.84999742424969005</v>
      </c>
      <c r="J106" s="15">
        <f t="shared" si="8"/>
        <v>0.14692185340674768</v>
      </c>
      <c r="K106" s="14">
        <f t="shared" si="10"/>
        <v>2.7973592928275706E-4</v>
      </c>
      <c r="L106" s="14">
        <f t="shared" si="11"/>
        <v>2.7755616879483947E-4</v>
      </c>
      <c r="M106" s="16">
        <f t="shared" si="9"/>
        <v>5.5729209807759653E-4</v>
      </c>
    </row>
    <row r="107" spans="1:13" x14ac:dyDescent="0.3">
      <c r="A107" t="s">
        <v>21</v>
      </c>
      <c r="B107" s="12">
        <v>2014</v>
      </c>
      <c r="C107" s="13">
        <v>1178545.9849999999</v>
      </c>
      <c r="D107">
        <v>212874.065</v>
      </c>
      <c r="E107" s="12">
        <v>1391072</v>
      </c>
      <c r="F107" s="13">
        <v>458</v>
      </c>
      <c r="G107">
        <v>367</v>
      </c>
      <c r="H107" s="12">
        <v>825</v>
      </c>
      <c r="I107" s="15">
        <f t="shared" si="7"/>
        <v>0.84722141269466988</v>
      </c>
      <c r="J107" s="15">
        <f t="shared" si="8"/>
        <v>0.15302879002668446</v>
      </c>
      <c r="K107" s="14">
        <f t="shared" si="10"/>
        <v>3.2924248349474363E-4</v>
      </c>
      <c r="L107" s="14">
        <f t="shared" si="11"/>
        <v>2.6382530882657404E-4</v>
      </c>
      <c r="M107" s="16">
        <f t="shared" si="9"/>
        <v>5.9306779232131768E-4</v>
      </c>
    </row>
    <row r="108" spans="1:13" x14ac:dyDescent="0.3">
      <c r="A108" t="s">
        <v>21</v>
      </c>
      <c r="B108" s="12">
        <v>2017</v>
      </c>
      <c r="C108" s="13">
        <v>1183532</v>
      </c>
      <c r="D108">
        <v>238126</v>
      </c>
      <c r="E108" s="12">
        <v>1421658</v>
      </c>
      <c r="F108" s="13">
        <v>457</v>
      </c>
      <c r="G108">
        <v>543</v>
      </c>
      <c r="H108" s="12">
        <v>1000</v>
      </c>
      <c r="I108" s="15">
        <f t="shared" si="7"/>
        <v>0.83250120633795188</v>
      </c>
      <c r="J108" s="15">
        <f t="shared" si="8"/>
        <v>0.16749879366204812</v>
      </c>
      <c r="K108" s="14">
        <f t="shared" si="10"/>
        <v>3.2145565248463414E-4</v>
      </c>
      <c r="L108" s="14">
        <f t="shared" si="11"/>
        <v>3.819484010922458E-4</v>
      </c>
      <c r="M108" s="16">
        <f t="shared" si="9"/>
        <v>7.0340405357687994E-4</v>
      </c>
    </row>
    <row r="109" spans="1:13" x14ac:dyDescent="0.3">
      <c r="A109" t="s">
        <v>21</v>
      </c>
      <c r="B109" s="12">
        <v>2015</v>
      </c>
      <c r="C109" s="13">
        <v>1185327.6230000001</v>
      </c>
      <c r="D109">
        <v>219910.652</v>
      </c>
      <c r="E109" s="12">
        <v>1406214</v>
      </c>
      <c r="F109" s="13">
        <v>358</v>
      </c>
      <c r="G109">
        <v>493</v>
      </c>
      <c r="H109" s="12">
        <v>851</v>
      </c>
      <c r="I109" s="15">
        <f t="shared" si="7"/>
        <v>0.84292122180550055</v>
      </c>
      <c r="J109" s="15">
        <f t="shared" si="8"/>
        <v>0.15638491154262438</v>
      </c>
      <c r="K109" s="14">
        <f t="shared" si="10"/>
        <v>2.5458429513573326E-4</v>
      </c>
      <c r="L109" s="14">
        <f t="shared" si="11"/>
        <v>3.5058675279864943E-4</v>
      </c>
      <c r="M109" s="16">
        <f t="shared" si="9"/>
        <v>6.0517104793438264E-4</v>
      </c>
    </row>
    <row r="110" spans="1:13" x14ac:dyDescent="0.3">
      <c r="A110" t="s">
        <v>21</v>
      </c>
      <c r="B110" s="12">
        <v>2016</v>
      </c>
      <c r="C110" s="13">
        <v>1185619.6740000001</v>
      </c>
      <c r="D110">
        <v>228155.08799999999</v>
      </c>
      <c r="E110" s="12">
        <v>1413673</v>
      </c>
      <c r="F110" s="13">
        <v>454</v>
      </c>
      <c r="G110">
        <v>436</v>
      </c>
      <c r="H110" s="12">
        <v>890</v>
      </c>
      <c r="I110" s="15">
        <f t="shared" si="7"/>
        <v>0.83868028462027644</v>
      </c>
      <c r="J110" s="15">
        <f t="shared" si="8"/>
        <v>0.16139169949486196</v>
      </c>
      <c r="K110" s="14">
        <f t="shared" si="10"/>
        <v>3.2114923323852123E-4</v>
      </c>
      <c r="L110" s="14">
        <f t="shared" si="11"/>
        <v>3.0841644425549616E-4</v>
      </c>
      <c r="M110" s="16">
        <f t="shared" si="9"/>
        <v>6.2956567749401738E-4</v>
      </c>
    </row>
    <row r="111" spans="1:13" x14ac:dyDescent="0.3">
      <c r="A111" t="s">
        <v>22</v>
      </c>
      <c r="B111" s="12">
        <v>2014</v>
      </c>
      <c r="C111" s="13">
        <v>1257628.9709999999</v>
      </c>
      <c r="D111">
        <v>189451.18099999998</v>
      </c>
      <c r="E111" s="12">
        <v>1447565</v>
      </c>
      <c r="F111" s="13">
        <v>434</v>
      </c>
      <c r="G111">
        <v>225</v>
      </c>
      <c r="H111" s="12">
        <v>659</v>
      </c>
      <c r="I111" s="15">
        <f t="shared" si="7"/>
        <v>0.86878929167256735</v>
      </c>
      <c r="J111" s="15">
        <f t="shared" si="8"/>
        <v>0.13087576792751965</v>
      </c>
      <c r="K111" s="14">
        <f t="shared" si="10"/>
        <v>2.9981382528591118E-4</v>
      </c>
      <c r="L111" s="14">
        <f t="shared" si="11"/>
        <v>1.5543343476804152E-4</v>
      </c>
      <c r="M111" s="16">
        <f t="shared" si="9"/>
        <v>4.552472600539527E-4</v>
      </c>
    </row>
    <row r="112" spans="1:13" x14ac:dyDescent="0.3">
      <c r="A112" t="s">
        <v>22</v>
      </c>
      <c r="B112" s="12">
        <v>2017</v>
      </c>
      <c r="C112" s="13">
        <v>1263702</v>
      </c>
      <c r="D112">
        <v>213704</v>
      </c>
      <c r="E112" s="12">
        <v>1477406</v>
      </c>
      <c r="F112" s="13">
        <v>414</v>
      </c>
      <c r="G112">
        <v>239</v>
      </c>
      <c r="H112" s="12">
        <v>653</v>
      </c>
      <c r="I112" s="15">
        <f t="shared" si="7"/>
        <v>0.85535188025498743</v>
      </c>
      <c r="J112" s="15">
        <f t="shared" si="8"/>
        <v>0.14464811974501254</v>
      </c>
      <c r="K112" s="14">
        <f t="shared" si="10"/>
        <v>2.8022087361226366E-4</v>
      </c>
      <c r="L112" s="14">
        <f t="shared" si="11"/>
        <v>1.6177002123992997E-4</v>
      </c>
      <c r="M112" s="16">
        <f t="shared" si="9"/>
        <v>4.4199089485219366E-4</v>
      </c>
    </row>
    <row r="113" spans="1:13" x14ac:dyDescent="0.3">
      <c r="A113" t="s">
        <v>58</v>
      </c>
      <c r="B113" s="12">
        <v>2017</v>
      </c>
      <c r="C113" s="13">
        <v>1272820</v>
      </c>
      <c r="D113">
        <v>282907</v>
      </c>
      <c r="E113" s="12">
        <v>1555727</v>
      </c>
      <c r="F113" s="13">
        <v>428</v>
      </c>
      <c r="G113">
        <v>389</v>
      </c>
      <c r="H113" s="12">
        <v>817</v>
      </c>
      <c r="I113" s="15">
        <f t="shared" si="7"/>
        <v>0.81815125661507448</v>
      </c>
      <c r="J113" s="15">
        <f t="shared" si="8"/>
        <v>0.18184874338492552</v>
      </c>
      <c r="K113" s="14">
        <f t="shared" si="10"/>
        <v>2.7511253581123164E-4</v>
      </c>
      <c r="L113" s="14">
        <f t="shared" si="11"/>
        <v>2.500438701648811E-4</v>
      </c>
      <c r="M113" s="16">
        <f t="shared" si="9"/>
        <v>5.2515640597611279E-4</v>
      </c>
    </row>
    <row r="114" spans="1:13" x14ac:dyDescent="0.3">
      <c r="A114" t="s">
        <v>58</v>
      </c>
      <c r="B114" s="12">
        <v>2015</v>
      </c>
      <c r="C114" s="13">
        <v>1276785.5489999999</v>
      </c>
      <c r="D114">
        <v>257701.36200000002</v>
      </c>
      <c r="E114" s="12">
        <v>1534068</v>
      </c>
      <c r="F114" s="13">
        <v>421</v>
      </c>
      <c r="G114">
        <v>403</v>
      </c>
      <c r="H114" s="12">
        <v>824</v>
      </c>
      <c r="I114" s="15">
        <f t="shared" si="7"/>
        <v>0.83228745335930343</v>
      </c>
      <c r="J114" s="15">
        <f t="shared" si="8"/>
        <v>0.16798561862968267</v>
      </c>
      <c r="K114" s="14">
        <f t="shared" si="10"/>
        <v>2.7443372783996536E-4</v>
      </c>
      <c r="L114" s="14">
        <f t="shared" si="11"/>
        <v>2.6270021928623765E-4</v>
      </c>
      <c r="M114" s="16">
        <f t="shared" si="9"/>
        <v>5.3713394712620306E-4</v>
      </c>
    </row>
    <row r="115" spans="1:13" x14ac:dyDescent="0.3">
      <c r="A115" t="s">
        <v>22</v>
      </c>
      <c r="B115" s="12">
        <v>2016</v>
      </c>
      <c r="C115" s="13">
        <v>1288068.3059999999</v>
      </c>
      <c r="D115">
        <v>209266.17399999997</v>
      </c>
      <c r="E115" s="12">
        <v>1498415</v>
      </c>
      <c r="F115" s="13">
        <v>406</v>
      </c>
      <c r="G115">
        <v>206</v>
      </c>
      <c r="H115" s="12">
        <v>612</v>
      </c>
      <c r="I115" s="15">
        <f t="shared" si="7"/>
        <v>0.85962053636676083</v>
      </c>
      <c r="J115" s="15">
        <f t="shared" si="8"/>
        <v>0.13965835499511148</v>
      </c>
      <c r="K115" s="14">
        <f t="shared" si="10"/>
        <v>2.7095297364214854E-4</v>
      </c>
      <c r="L115" s="14">
        <f t="shared" si="11"/>
        <v>1.374786023898586E-4</v>
      </c>
      <c r="M115" s="16">
        <f t="shared" si="9"/>
        <v>4.0843157603200715E-4</v>
      </c>
    </row>
    <row r="116" spans="1:13" x14ac:dyDescent="0.3">
      <c r="A116" t="s">
        <v>22</v>
      </c>
      <c r="B116" s="12">
        <v>2015</v>
      </c>
      <c r="C116" s="13">
        <v>1288076.402</v>
      </c>
      <c r="D116">
        <v>195342.87900000002</v>
      </c>
      <c r="E116" s="12">
        <v>1484099</v>
      </c>
      <c r="F116" s="13">
        <v>422</v>
      </c>
      <c r="G116">
        <v>237</v>
      </c>
      <c r="H116" s="12">
        <v>659</v>
      </c>
      <c r="I116" s="15">
        <f t="shared" si="7"/>
        <v>0.86791811193188595</v>
      </c>
      <c r="J116" s="15">
        <f t="shared" si="8"/>
        <v>0.13162388695093791</v>
      </c>
      <c r="K116" s="14">
        <f t="shared" si="10"/>
        <v>2.8434760753831112E-4</v>
      </c>
      <c r="L116" s="14">
        <f t="shared" si="11"/>
        <v>1.596928506790989E-4</v>
      </c>
      <c r="M116" s="16">
        <f t="shared" si="9"/>
        <v>4.4404045821741002E-4</v>
      </c>
    </row>
    <row r="117" spans="1:13" x14ac:dyDescent="0.3">
      <c r="A117" t="s">
        <v>22</v>
      </c>
      <c r="B117" s="12">
        <v>2009</v>
      </c>
      <c r="C117" s="13">
        <v>1314449.1710000001</v>
      </c>
      <c r="D117">
        <v>174379.39300000001</v>
      </c>
      <c r="E117" s="12">
        <v>1488444</v>
      </c>
      <c r="F117" s="13">
        <v>440</v>
      </c>
      <c r="G117">
        <v>180</v>
      </c>
      <c r="H117" s="12">
        <v>620</v>
      </c>
      <c r="I117" s="15">
        <f t="shared" si="7"/>
        <v>0.88310287185812841</v>
      </c>
      <c r="J117" s="15">
        <f t="shared" si="8"/>
        <v>0.11715549459704229</v>
      </c>
      <c r="K117" s="14">
        <f t="shared" si="10"/>
        <v>2.956107183071718E-4</v>
      </c>
      <c r="L117" s="14">
        <f t="shared" si="11"/>
        <v>1.2093165748929754E-4</v>
      </c>
      <c r="M117" s="16">
        <f t="shared" si="9"/>
        <v>4.1654237579646935E-4</v>
      </c>
    </row>
    <row r="118" spans="1:13" x14ac:dyDescent="0.3">
      <c r="A118" t="s">
        <v>22</v>
      </c>
      <c r="B118" s="12">
        <v>2010</v>
      </c>
      <c r="C118" s="13">
        <v>1322254.8209999998</v>
      </c>
      <c r="D118">
        <v>177896.87</v>
      </c>
      <c r="E118" s="12">
        <v>1500717</v>
      </c>
      <c r="F118" s="13">
        <v>469</v>
      </c>
      <c r="G118">
        <v>180</v>
      </c>
      <c r="H118" s="12">
        <v>649</v>
      </c>
      <c r="I118" s="15">
        <f t="shared" si="7"/>
        <v>0.88108205677686047</v>
      </c>
      <c r="J118" s="15">
        <f t="shared" si="8"/>
        <v>0.11854125061553911</v>
      </c>
      <c r="K118" s="14">
        <f t="shared" si="10"/>
        <v>3.12517283405199E-4</v>
      </c>
      <c r="L118" s="14">
        <f t="shared" si="11"/>
        <v>1.1994266740498041E-4</v>
      </c>
      <c r="M118" s="16">
        <f t="shared" si="9"/>
        <v>4.324599508101794E-4</v>
      </c>
    </row>
    <row r="119" spans="1:13" x14ac:dyDescent="0.3">
      <c r="A119" t="s">
        <v>22</v>
      </c>
      <c r="B119" s="12">
        <v>2011</v>
      </c>
      <c r="C119" s="13">
        <v>1342513.2049999998</v>
      </c>
      <c r="D119">
        <v>186788.20300000001</v>
      </c>
      <c r="E119" s="12">
        <v>1529400</v>
      </c>
      <c r="F119" s="13">
        <v>462</v>
      </c>
      <c r="G119">
        <v>201</v>
      </c>
      <c r="H119" s="12">
        <v>663</v>
      </c>
      <c r="I119" s="15">
        <f t="shared" si="7"/>
        <v>0.87780384791421462</v>
      </c>
      <c r="J119" s="15">
        <f t="shared" si="8"/>
        <v>0.12213168758990454</v>
      </c>
      <c r="K119" s="14">
        <f t="shared" si="10"/>
        <v>3.0207924676343664E-4</v>
      </c>
      <c r="L119" s="14">
        <f t="shared" si="11"/>
        <v>1.3142408787759907E-4</v>
      </c>
      <c r="M119" s="16">
        <f t="shared" si="9"/>
        <v>4.3350333464103571E-4</v>
      </c>
    </row>
    <row r="120" spans="1:13" x14ac:dyDescent="0.3">
      <c r="A120" t="s">
        <v>22</v>
      </c>
      <c r="B120" s="12">
        <v>2012</v>
      </c>
      <c r="C120" s="13">
        <v>1346330.5879999998</v>
      </c>
      <c r="D120">
        <v>191302.495</v>
      </c>
      <c r="E120" s="12">
        <v>1536407</v>
      </c>
      <c r="F120" s="13">
        <v>472</v>
      </c>
      <c r="G120">
        <v>169</v>
      </c>
      <c r="H120" s="12">
        <v>641</v>
      </c>
      <c r="I120" s="15">
        <f t="shared" si="7"/>
        <v>0.8762851171597108</v>
      </c>
      <c r="J120" s="15">
        <f t="shared" si="8"/>
        <v>0.12451290250565117</v>
      </c>
      <c r="K120" s="14">
        <f t="shared" si="10"/>
        <v>3.07210263946988E-4</v>
      </c>
      <c r="L120" s="14">
        <f t="shared" si="11"/>
        <v>1.0999689535390036E-4</v>
      </c>
      <c r="M120" s="16">
        <f t="shared" si="9"/>
        <v>4.1720715930088835E-4</v>
      </c>
    </row>
    <row r="121" spans="1:13" x14ac:dyDescent="0.3">
      <c r="A121" t="s">
        <v>22</v>
      </c>
      <c r="B121" s="12">
        <v>2013</v>
      </c>
      <c r="C121" s="13">
        <v>1358169.7220000001</v>
      </c>
      <c r="D121">
        <v>195739.24599999998</v>
      </c>
      <c r="E121" s="12">
        <v>1553580</v>
      </c>
      <c r="F121" s="13">
        <v>420</v>
      </c>
      <c r="G121">
        <v>235</v>
      </c>
      <c r="H121" s="12">
        <v>655</v>
      </c>
      <c r="I121" s="15">
        <f t="shared" si="7"/>
        <v>0.8742193655943048</v>
      </c>
      <c r="J121" s="15">
        <f t="shared" si="8"/>
        <v>0.12599238275466984</v>
      </c>
      <c r="K121" s="14">
        <f t="shared" si="10"/>
        <v>2.703433360367667E-4</v>
      </c>
      <c r="L121" s="14">
        <f t="shared" si="11"/>
        <v>1.5126353325866707E-4</v>
      </c>
      <c r="M121" s="16">
        <f t="shared" si="9"/>
        <v>4.2160686929543375E-4</v>
      </c>
    </row>
    <row r="122" spans="1:13" x14ac:dyDescent="0.3">
      <c r="A122" t="s">
        <v>58</v>
      </c>
      <c r="B122" s="12">
        <v>2014</v>
      </c>
      <c r="C122" s="13">
        <v>1370473.0730000001</v>
      </c>
      <c r="D122">
        <v>277319.74900000001</v>
      </c>
      <c r="E122" s="12">
        <v>1648123</v>
      </c>
      <c r="F122" s="13">
        <v>466</v>
      </c>
      <c r="G122">
        <v>360</v>
      </c>
      <c r="H122" s="12">
        <v>826</v>
      </c>
      <c r="I122" s="15">
        <f t="shared" si="7"/>
        <v>0.83153567603874234</v>
      </c>
      <c r="J122" s="15">
        <f t="shared" si="8"/>
        <v>0.16826398818534782</v>
      </c>
      <c r="K122" s="14">
        <f t="shared" si="10"/>
        <v>2.8274588729117911E-4</v>
      </c>
      <c r="L122" s="14">
        <f t="shared" si="11"/>
        <v>2.1843029919490231E-4</v>
      </c>
      <c r="M122" s="16">
        <f t="shared" si="9"/>
        <v>5.0117618648608145E-4</v>
      </c>
    </row>
    <row r="123" spans="1:13" x14ac:dyDescent="0.3">
      <c r="A123" t="s">
        <v>58</v>
      </c>
      <c r="B123" s="12">
        <v>2016</v>
      </c>
      <c r="C123" s="13">
        <v>1393378.0279999999</v>
      </c>
      <c r="D123">
        <v>292086.73299999995</v>
      </c>
      <c r="E123" s="12">
        <v>1685760</v>
      </c>
      <c r="F123" s="13">
        <v>404</v>
      </c>
      <c r="G123">
        <v>303</v>
      </c>
      <c r="H123" s="12">
        <v>707</v>
      </c>
      <c r="I123" s="15">
        <f t="shared" si="7"/>
        <v>0.82655777097570227</v>
      </c>
      <c r="J123" s="15">
        <f t="shared" si="8"/>
        <v>0.17326709199411539</v>
      </c>
      <c r="K123" s="14">
        <f t="shared" si="10"/>
        <v>2.3965451784358391E-4</v>
      </c>
      <c r="L123" s="14">
        <f t="shared" si="11"/>
        <v>1.7974088838268793E-4</v>
      </c>
      <c r="M123" s="16">
        <f t="shared" si="9"/>
        <v>4.1939540622627184E-4</v>
      </c>
    </row>
    <row r="124" spans="1:13" x14ac:dyDescent="0.3">
      <c r="A124" t="s">
        <v>58</v>
      </c>
      <c r="B124" s="12">
        <v>2012</v>
      </c>
      <c r="C124" s="13">
        <v>1399878.8589999999</v>
      </c>
      <c r="D124">
        <v>265390.29799999995</v>
      </c>
      <c r="E124" s="12">
        <v>1665624</v>
      </c>
      <c r="F124" s="13">
        <v>462</v>
      </c>
      <c r="G124">
        <v>337</v>
      </c>
      <c r="H124" s="12">
        <v>799</v>
      </c>
      <c r="I124" s="15">
        <f t="shared" si="7"/>
        <v>0.84045310286114994</v>
      </c>
      <c r="J124" s="15">
        <f t="shared" si="8"/>
        <v>0.1593338580616033</v>
      </c>
      <c r="K124" s="14">
        <f t="shared" si="10"/>
        <v>2.7737352487716314E-4</v>
      </c>
      <c r="L124" s="14">
        <f t="shared" si="11"/>
        <v>2.0232657550563632E-4</v>
      </c>
      <c r="M124" s="16">
        <f t="shared" si="9"/>
        <v>4.7970010038279946E-4</v>
      </c>
    </row>
    <row r="125" spans="1:13" x14ac:dyDescent="0.3">
      <c r="A125" t="s">
        <v>37</v>
      </c>
      <c r="B125" s="12">
        <v>2015</v>
      </c>
      <c r="C125" s="13">
        <v>1423933.0899999996</v>
      </c>
      <c r="D125">
        <v>224954.77700000006</v>
      </c>
      <c r="E125" s="12">
        <v>1649860</v>
      </c>
      <c r="F125" s="13">
        <v>434</v>
      </c>
      <c r="G125">
        <v>315</v>
      </c>
      <c r="H125" s="12">
        <v>749</v>
      </c>
      <c r="I125" s="15">
        <f t="shared" si="7"/>
        <v>0.86306298110142654</v>
      </c>
      <c r="J125" s="15">
        <f t="shared" si="8"/>
        <v>0.1363477973888694</v>
      </c>
      <c r="K125" s="14">
        <f t="shared" si="10"/>
        <v>2.6305262264677003E-4</v>
      </c>
      <c r="L125" s="14">
        <f t="shared" si="11"/>
        <v>1.9092529063072019E-4</v>
      </c>
      <c r="M125" s="16">
        <f t="shared" si="9"/>
        <v>4.5397791327749019E-4</v>
      </c>
    </row>
    <row r="126" spans="1:13" x14ac:dyDescent="0.3">
      <c r="A126" t="s">
        <v>58</v>
      </c>
      <c r="B126" s="12">
        <v>2013</v>
      </c>
      <c r="C126" s="13">
        <v>1433099.65</v>
      </c>
      <c r="D126">
        <v>275694.99500000005</v>
      </c>
      <c r="E126" s="12">
        <v>1709774</v>
      </c>
      <c r="F126" s="13">
        <v>389</v>
      </c>
      <c r="G126">
        <v>387</v>
      </c>
      <c r="H126" s="12">
        <v>776</v>
      </c>
      <c r="I126" s="15">
        <f t="shared" si="7"/>
        <v>0.83818074786492247</v>
      </c>
      <c r="J126" s="15">
        <f t="shared" si="8"/>
        <v>0.16124645420973768</v>
      </c>
      <c r="K126" s="14">
        <f t="shared" si="10"/>
        <v>2.2751544941027293E-4</v>
      </c>
      <c r="L126" s="14">
        <f t="shared" si="11"/>
        <v>2.2634570416908901E-4</v>
      </c>
      <c r="M126" s="16">
        <f t="shared" si="9"/>
        <v>4.5386115357936197E-4</v>
      </c>
    </row>
    <row r="127" spans="1:13" x14ac:dyDescent="0.3">
      <c r="A127" t="s">
        <v>58</v>
      </c>
      <c r="B127" s="12">
        <v>2011</v>
      </c>
      <c r="C127" s="13">
        <v>1437103.6040000001</v>
      </c>
      <c r="D127">
        <v>275543.96799999999</v>
      </c>
      <c r="E127" s="12">
        <v>1713552</v>
      </c>
      <c r="F127" s="13">
        <v>429</v>
      </c>
      <c r="G127">
        <v>338</v>
      </c>
      <c r="H127" s="12">
        <v>767</v>
      </c>
      <c r="I127" s="15">
        <f t="shared" si="7"/>
        <v>0.83866938616394482</v>
      </c>
      <c r="J127" s="15">
        <f t="shared" si="8"/>
        <v>0.16080280493384502</v>
      </c>
      <c r="K127" s="14">
        <f t="shared" si="10"/>
        <v>2.5035715286142468E-4</v>
      </c>
      <c r="L127" s="14">
        <f t="shared" si="11"/>
        <v>1.9725109013324368E-4</v>
      </c>
      <c r="M127" s="16">
        <f t="shared" si="9"/>
        <v>4.4760824299466839E-4</v>
      </c>
    </row>
    <row r="128" spans="1:13" x14ac:dyDescent="0.3">
      <c r="A128" t="s">
        <v>37</v>
      </c>
      <c r="B128" s="12">
        <v>2014</v>
      </c>
      <c r="C128" s="13">
        <v>1443253.834</v>
      </c>
      <c r="D128">
        <v>227180.55</v>
      </c>
      <c r="E128" s="12">
        <v>1668040</v>
      </c>
      <c r="F128" s="13">
        <v>507</v>
      </c>
      <c r="G128">
        <v>314</v>
      </c>
      <c r="H128" s="12">
        <v>821</v>
      </c>
      <c r="I128" s="15">
        <f t="shared" si="7"/>
        <v>0.86523934318121865</v>
      </c>
      <c r="J128" s="15">
        <f t="shared" si="8"/>
        <v>0.13619610440996618</v>
      </c>
      <c r="K128" s="14">
        <f t="shared" si="10"/>
        <v>3.0394954557444665E-4</v>
      </c>
      <c r="L128" s="14">
        <f t="shared" si="11"/>
        <v>1.8824488621375986E-4</v>
      </c>
      <c r="M128" s="16">
        <f t="shared" si="9"/>
        <v>4.9219443178820648E-4</v>
      </c>
    </row>
    <row r="129" spans="1:13" x14ac:dyDescent="0.3">
      <c r="A129" t="s">
        <v>37</v>
      </c>
      <c r="B129" s="12">
        <v>2017</v>
      </c>
      <c r="C129" s="13">
        <v>1464708</v>
      </c>
      <c r="D129">
        <v>240694</v>
      </c>
      <c r="E129" s="12">
        <v>1705402</v>
      </c>
      <c r="F129" s="13">
        <v>417</v>
      </c>
      <c r="G129">
        <v>327</v>
      </c>
      <c r="H129" s="12">
        <v>744</v>
      </c>
      <c r="I129" s="15">
        <f t="shared" si="7"/>
        <v>0.85886377522718982</v>
      </c>
      <c r="J129" s="15">
        <f t="shared" si="8"/>
        <v>0.14113622477281015</v>
      </c>
      <c r="K129" s="14">
        <f t="shared" si="10"/>
        <v>2.4451712851280812E-4</v>
      </c>
      <c r="L129" s="14">
        <f t="shared" si="11"/>
        <v>1.9174364753882077E-4</v>
      </c>
      <c r="M129" s="16">
        <f t="shared" si="9"/>
        <v>4.3626077605162888E-4</v>
      </c>
    </row>
    <row r="130" spans="1:13" x14ac:dyDescent="0.3">
      <c r="A130" t="s">
        <v>37</v>
      </c>
      <c r="B130" s="12">
        <v>2012</v>
      </c>
      <c r="C130" s="13">
        <v>1479336.2180000001</v>
      </c>
      <c r="D130">
        <v>225516.60700000002</v>
      </c>
      <c r="E130" s="12">
        <v>1704870</v>
      </c>
      <c r="F130" s="13">
        <v>427</v>
      </c>
      <c r="G130">
        <v>266</v>
      </c>
      <c r="H130" s="12">
        <v>693</v>
      </c>
      <c r="I130" s="15">
        <f t="shared" si="7"/>
        <v>0.86771203552177001</v>
      </c>
      <c r="J130" s="15">
        <f t="shared" si="8"/>
        <v>0.13227789039633522</v>
      </c>
      <c r="K130" s="14">
        <f t="shared" si="10"/>
        <v>2.504589792770123E-4</v>
      </c>
      <c r="L130" s="14">
        <f t="shared" si="11"/>
        <v>1.5602362643486013E-4</v>
      </c>
      <c r="M130" s="16">
        <f t="shared" si="9"/>
        <v>4.0648260571187248E-4</v>
      </c>
    </row>
    <row r="131" spans="1:13" x14ac:dyDescent="0.3">
      <c r="A131" t="s">
        <v>58</v>
      </c>
      <c r="B131" s="12">
        <v>2010</v>
      </c>
      <c r="C131" s="13">
        <v>1493257.1039999998</v>
      </c>
      <c r="D131">
        <v>278592.79699999996</v>
      </c>
      <c r="E131" s="12">
        <v>1771762</v>
      </c>
      <c r="F131" s="13">
        <v>471</v>
      </c>
      <c r="G131">
        <v>377</v>
      </c>
      <c r="H131" s="12">
        <v>848</v>
      </c>
      <c r="I131" s="15">
        <f t="shared" ref="I131:I194" si="12">C131/E131</f>
        <v>0.84280908158093459</v>
      </c>
      <c r="J131" s="15">
        <f t="shared" ref="J131:J194" si="13">D131/E131</f>
        <v>0.15724053061302815</v>
      </c>
      <c r="K131" s="14">
        <f t="shared" si="10"/>
        <v>2.6583705937930713E-4</v>
      </c>
      <c r="L131" s="14">
        <f t="shared" si="11"/>
        <v>2.1278252948195073E-4</v>
      </c>
      <c r="M131" s="16">
        <f t="shared" ref="M131:M194" si="14">H131/E131</f>
        <v>4.7861958886125788E-4</v>
      </c>
    </row>
    <row r="132" spans="1:13" x14ac:dyDescent="0.3">
      <c r="A132" t="s">
        <v>58</v>
      </c>
      <c r="B132" s="12">
        <v>2009</v>
      </c>
      <c r="C132" s="13">
        <v>1496621.3</v>
      </c>
      <c r="D132">
        <v>275638.61000000004</v>
      </c>
      <c r="E132" s="12">
        <v>1771937</v>
      </c>
      <c r="F132" s="13">
        <v>464</v>
      </c>
      <c r="G132">
        <v>344</v>
      </c>
      <c r="H132" s="12">
        <v>808</v>
      </c>
      <c r="I132" s="15">
        <f t="shared" si="12"/>
        <v>0.84462444206537823</v>
      </c>
      <c r="J132" s="15">
        <f t="shared" si="13"/>
        <v>0.15555779353329155</v>
      </c>
      <c r="K132" s="14">
        <f t="shared" si="10"/>
        <v>2.6186032573392848E-4</v>
      </c>
      <c r="L132" s="14">
        <f t="shared" si="11"/>
        <v>1.941378276992918E-4</v>
      </c>
      <c r="M132" s="16">
        <f t="shared" si="14"/>
        <v>4.5599815343322028E-4</v>
      </c>
    </row>
    <row r="133" spans="1:13" x14ac:dyDescent="0.3">
      <c r="A133" t="s">
        <v>37</v>
      </c>
      <c r="B133" s="12">
        <v>2013</v>
      </c>
      <c r="C133" s="13">
        <v>1496781.7529999998</v>
      </c>
      <c r="D133">
        <v>228392.94</v>
      </c>
      <c r="E133" s="12">
        <v>1725065</v>
      </c>
      <c r="F133" s="13">
        <v>386</v>
      </c>
      <c r="G133">
        <v>336</v>
      </c>
      <c r="H133" s="12">
        <v>722</v>
      </c>
      <c r="I133" s="15">
        <f t="shared" si="12"/>
        <v>0.86766687226278416</v>
      </c>
      <c r="J133" s="15">
        <f t="shared" si="13"/>
        <v>0.13239671548608314</v>
      </c>
      <c r="K133" s="14">
        <f t="shared" si="10"/>
        <v>2.2375968441768862E-4</v>
      </c>
      <c r="L133" s="14">
        <f t="shared" si="11"/>
        <v>1.9477526933767714E-4</v>
      </c>
      <c r="M133" s="16">
        <f t="shared" si="14"/>
        <v>4.1853495375536573E-4</v>
      </c>
    </row>
    <row r="134" spans="1:13" x14ac:dyDescent="0.3">
      <c r="A134" t="s">
        <v>37</v>
      </c>
      <c r="B134" s="12">
        <v>2010</v>
      </c>
      <c r="C134" s="13">
        <v>1504933.4379999998</v>
      </c>
      <c r="D134">
        <v>231307.87799999994</v>
      </c>
      <c r="E134" s="12">
        <v>1736701</v>
      </c>
      <c r="F134" s="13">
        <v>458</v>
      </c>
      <c r="G134">
        <v>266</v>
      </c>
      <c r="H134" s="12">
        <v>724</v>
      </c>
      <c r="I134" s="15">
        <f t="shared" si="12"/>
        <v>0.86654722833694453</v>
      </c>
      <c r="J134" s="15">
        <f t="shared" si="13"/>
        <v>0.13318808361370205</v>
      </c>
      <c r="K134" s="14">
        <f t="shared" si="10"/>
        <v>2.6371839481868211E-4</v>
      </c>
      <c r="L134" s="14">
        <f t="shared" si="11"/>
        <v>1.5316395856281536E-4</v>
      </c>
      <c r="M134" s="16">
        <f t="shared" si="14"/>
        <v>4.1688235338149744E-4</v>
      </c>
    </row>
    <row r="135" spans="1:13" x14ac:dyDescent="0.3">
      <c r="A135" t="s">
        <v>37</v>
      </c>
      <c r="B135" s="12">
        <v>2009</v>
      </c>
      <c r="C135" s="13">
        <v>1505739.645</v>
      </c>
      <c r="D135">
        <v>231425.41899999999</v>
      </c>
      <c r="E135" s="12">
        <v>1736643</v>
      </c>
      <c r="F135" s="13">
        <v>463</v>
      </c>
      <c r="G135">
        <v>258</v>
      </c>
      <c r="H135" s="12">
        <v>721</v>
      </c>
      <c r="I135" s="15">
        <f t="shared" si="12"/>
        <v>0.86704040208609368</v>
      </c>
      <c r="J135" s="15">
        <f t="shared" si="13"/>
        <v>0.13326021467854937</v>
      </c>
      <c r="K135" s="14">
        <f t="shared" ref="K135:K198" si="15">F135/E135</f>
        <v>2.6660632035484553E-4</v>
      </c>
      <c r="L135" s="14">
        <f t="shared" si="11"/>
        <v>1.4856248520853164E-4</v>
      </c>
      <c r="M135" s="16">
        <f t="shared" si="14"/>
        <v>4.1516880556337717E-4</v>
      </c>
    </row>
    <row r="136" spans="1:13" x14ac:dyDescent="0.3">
      <c r="A136" t="s">
        <v>37</v>
      </c>
      <c r="B136" s="12">
        <v>2011</v>
      </c>
      <c r="C136" s="13">
        <v>1509882.1860000002</v>
      </c>
      <c r="D136">
        <v>230538.68000000005</v>
      </c>
      <c r="E136" s="12">
        <v>1738683</v>
      </c>
      <c r="F136" s="13">
        <v>364</v>
      </c>
      <c r="G136">
        <v>308</v>
      </c>
      <c r="H136" s="12">
        <v>672</v>
      </c>
      <c r="I136" s="15">
        <f t="shared" si="12"/>
        <v>0.86840567602029828</v>
      </c>
      <c r="J136" s="15">
        <f t="shared" si="13"/>
        <v>0.13259385408380944</v>
      </c>
      <c r="K136" s="14">
        <f t="shared" si="15"/>
        <v>2.093538615147212E-4</v>
      </c>
      <c r="L136" s="14">
        <f t="shared" ref="L136:L199" si="16">G136/E136</f>
        <v>1.7714557512784102E-4</v>
      </c>
      <c r="M136" s="16">
        <f t="shared" si="14"/>
        <v>3.8649943664256222E-4</v>
      </c>
    </row>
    <row r="137" spans="1:13" x14ac:dyDescent="0.3">
      <c r="A137" t="s">
        <v>37</v>
      </c>
      <c r="B137" s="12">
        <v>2016</v>
      </c>
      <c r="C137" s="13">
        <v>1541769.4040000003</v>
      </c>
      <c r="D137">
        <v>253300.77499999999</v>
      </c>
      <c r="E137" s="12">
        <v>1795077</v>
      </c>
      <c r="F137" s="13">
        <v>407</v>
      </c>
      <c r="G137">
        <v>298</v>
      </c>
      <c r="H137" s="12">
        <v>705</v>
      </c>
      <c r="I137" s="15">
        <f t="shared" si="12"/>
        <v>0.85888761540591319</v>
      </c>
      <c r="J137" s="15">
        <f t="shared" si="13"/>
        <v>0.1411085847570884</v>
      </c>
      <c r="K137" s="14">
        <f t="shared" si="15"/>
        <v>2.267312210005476E-4</v>
      </c>
      <c r="L137" s="14">
        <f t="shared" si="16"/>
        <v>1.6600959178909874E-4</v>
      </c>
      <c r="M137" s="16">
        <f t="shared" si="14"/>
        <v>3.9274081278964633E-4</v>
      </c>
    </row>
    <row r="138" spans="1:13" x14ac:dyDescent="0.3">
      <c r="A138" t="s">
        <v>41</v>
      </c>
      <c r="B138" s="12">
        <v>2015</v>
      </c>
      <c r="C138" s="13">
        <v>1658031.6450000003</v>
      </c>
      <c r="D138">
        <v>281054.47100000002</v>
      </c>
      <c r="E138" s="12">
        <v>1938740</v>
      </c>
      <c r="F138" s="13">
        <v>443</v>
      </c>
      <c r="G138">
        <v>259</v>
      </c>
      <c r="H138" s="12">
        <v>702</v>
      </c>
      <c r="I138" s="15">
        <f t="shared" si="12"/>
        <v>0.85521093338972742</v>
      </c>
      <c r="J138" s="15">
        <f t="shared" si="13"/>
        <v>0.14496759286959573</v>
      </c>
      <c r="K138" s="14">
        <f t="shared" si="15"/>
        <v>2.2849892198025521E-4</v>
      </c>
      <c r="L138" s="14">
        <f t="shared" si="16"/>
        <v>1.3359192052570226E-4</v>
      </c>
      <c r="M138" s="16">
        <f t="shared" si="14"/>
        <v>3.6209084250595749E-4</v>
      </c>
    </row>
    <row r="139" spans="1:13" x14ac:dyDescent="0.3">
      <c r="A139" t="s">
        <v>41</v>
      </c>
      <c r="B139" s="12">
        <v>2016</v>
      </c>
      <c r="C139" s="13">
        <v>1684914.7970000003</v>
      </c>
      <c r="D139">
        <v>299286.43400000001</v>
      </c>
      <c r="E139" s="12">
        <v>1984131</v>
      </c>
      <c r="F139" s="13">
        <v>448</v>
      </c>
      <c r="G139">
        <v>213</v>
      </c>
      <c r="H139" s="12">
        <v>661</v>
      </c>
      <c r="I139" s="15">
        <f t="shared" si="12"/>
        <v>0.84919533891663412</v>
      </c>
      <c r="J139" s="15">
        <f t="shared" si="13"/>
        <v>0.15084005743572376</v>
      </c>
      <c r="K139" s="14">
        <f t="shared" si="15"/>
        <v>2.2579154299791698E-4</v>
      </c>
      <c r="L139" s="14">
        <f t="shared" si="16"/>
        <v>1.0735178271999178E-4</v>
      </c>
      <c r="M139" s="16">
        <f t="shared" si="14"/>
        <v>3.3314332571790875E-4</v>
      </c>
    </row>
    <row r="140" spans="1:13" x14ac:dyDescent="0.3">
      <c r="A140" t="s">
        <v>41</v>
      </c>
      <c r="B140" s="12">
        <v>2014</v>
      </c>
      <c r="C140" s="13">
        <v>1706169.5030000003</v>
      </c>
      <c r="D140">
        <v>278905.38299999997</v>
      </c>
      <c r="E140" s="12">
        <v>1983368</v>
      </c>
      <c r="F140" s="13">
        <v>486</v>
      </c>
      <c r="G140">
        <v>253</v>
      </c>
      <c r="H140" s="12">
        <v>739</v>
      </c>
      <c r="I140" s="15">
        <f t="shared" si="12"/>
        <v>0.86023849482294779</v>
      </c>
      <c r="J140" s="15">
        <f t="shared" si="13"/>
        <v>0.14062210492455257</v>
      </c>
      <c r="K140" s="14">
        <f t="shared" si="15"/>
        <v>2.4503773379423282E-4</v>
      </c>
      <c r="L140" s="14">
        <f t="shared" si="16"/>
        <v>1.2756079557601011E-4</v>
      </c>
      <c r="M140" s="16">
        <f t="shared" si="14"/>
        <v>3.7259852937024293E-4</v>
      </c>
    </row>
    <row r="141" spans="1:13" x14ac:dyDescent="0.3">
      <c r="A141" t="s">
        <v>41</v>
      </c>
      <c r="B141" s="12">
        <v>2017</v>
      </c>
      <c r="C141" s="13">
        <v>1712623</v>
      </c>
      <c r="D141">
        <v>310244</v>
      </c>
      <c r="E141" s="12">
        <v>2022867</v>
      </c>
      <c r="F141" s="13">
        <v>453</v>
      </c>
      <c r="G141">
        <v>247</v>
      </c>
      <c r="H141" s="12">
        <v>700</v>
      </c>
      <c r="I141" s="15">
        <f t="shared" si="12"/>
        <v>0.84663153830676952</v>
      </c>
      <c r="J141" s="15">
        <f t="shared" si="13"/>
        <v>0.15336846169323046</v>
      </c>
      <c r="K141" s="14">
        <f t="shared" si="15"/>
        <v>2.2393958673506463E-4</v>
      </c>
      <c r="L141" s="14">
        <f t="shared" si="16"/>
        <v>1.2210392477607278E-4</v>
      </c>
      <c r="M141" s="16">
        <f t="shared" si="14"/>
        <v>3.4604351151113741E-4</v>
      </c>
    </row>
    <row r="142" spans="1:13" x14ac:dyDescent="0.3">
      <c r="A142" t="s">
        <v>41</v>
      </c>
      <c r="B142" s="12">
        <v>2009</v>
      </c>
      <c r="C142" s="13">
        <v>1717252.7139999999</v>
      </c>
      <c r="D142">
        <v>248670.01199999996</v>
      </c>
      <c r="E142" s="12">
        <v>1964860</v>
      </c>
      <c r="F142" s="13">
        <v>445</v>
      </c>
      <c r="G142">
        <v>232</v>
      </c>
      <c r="H142" s="12">
        <v>677</v>
      </c>
      <c r="I142" s="15">
        <f t="shared" si="12"/>
        <v>0.87398222468776399</v>
      </c>
      <c r="J142" s="15">
        <f t="shared" si="13"/>
        <v>0.12655864132813532</v>
      </c>
      <c r="K142" s="14">
        <f t="shared" si="15"/>
        <v>2.2647924025121383E-4</v>
      </c>
      <c r="L142" s="14">
        <f t="shared" si="16"/>
        <v>1.1807457019838564E-4</v>
      </c>
      <c r="M142" s="16">
        <f t="shared" si="14"/>
        <v>3.4455381044959946E-4</v>
      </c>
    </row>
    <row r="143" spans="1:13" x14ac:dyDescent="0.3">
      <c r="A143" t="s">
        <v>41</v>
      </c>
      <c r="B143" s="12">
        <v>2010</v>
      </c>
      <c r="C143" s="13">
        <v>1733021.5530000003</v>
      </c>
      <c r="D143">
        <v>252441.02599999995</v>
      </c>
      <c r="E143" s="12">
        <v>1986370</v>
      </c>
      <c r="F143" s="13">
        <v>462</v>
      </c>
      <c r="G143">
        <v>224</v>
      </c>
      <c r="H143" s="12">
        <v>686</v>
      </c>
      <c r="I143" s="15">
        <f t="shared" si="12"/>
        <v>0.87245656801099514</v>
      </c>
      <c r="J143" s="15">
        <f t="shared" si="13"/>
        <v>0.12708660823512233</v>
      </c>
      <c r="K143" s="14">
        <f t="shared" si="15"/>
        <v>2.3258506723319421E-4</v>
      </c>
      <c r="L143" s="14">
        <f t="shared" si="16"/>
        <v>1.127685174463972E-4</v>
      </c>
      <c r="M143" s="16">
        <f t="shared" si="14"/>
        <v>3.4535358467959143E-4</v>
      </c>
    </row>
    <row r="144" spans="1:13" x14ac:dyDescent="0.3">
      <c r="A144" t="s">
        <v>41</v>
      </c>
      <c r="B144" s="12">
        <v>2013</v>
      </c>
      <c r="C144" s="13">
        <v>1738833.875</v>
      </c>
      <c r="D144">
        <v>272530.85399999993</v>
      </c>
      <c r="E144" s="12">
        <v>2011476</v>
      </c>
      <c r="F144" s="13">
        <v>409</v>
      </c>
      <c r="G144">
        <v>303</v>
      </c>
      <c r="H144" s="12">
        <v>712</v>
      </c>
      <c r="I144" s="15">
        <f t="shared" si="12"/>
        <v>0.86445668504123341</v>
      </c>
      <c r="J144" s="15">
        <f t="shared" si="13"/>
        <v>0.13548799687393731</v>
      </c>
      <c r="K144" s="14">
        <f t="shared" si="15"/>
        <v>2.0333327367564913E-4</v>
      </c>
      <c r="L144" s="14">
        <f t="shared" si="16"/>
        <v>1.5063565262523639E-4</v>
      </c>
      <c r="M144" s="16">
        <f t="shared" si="14"/>
        <v>3.5396892630088552E-4</v>
      </c>
    </row>
    <row r="145" spans="1:13" x14ac:dyDescent="0.3">
      <c r="A145" t="s">
        <v>41</v>
      </c>
      <c r="B145" s="12">
        <v>2012</v>
      </c>
      <c r="C145" s="13">
        <v>1739639.7130000002</v>
      </c>
      <c r="D145">
        <v>262105.11199999999</v>
      </c>
      <c r="E145" s="12">
        <v>2000640</v>
      </c>
      <c r="F145" s="13">
        <v>432</v>
      </c>
      <c r="G145">
        <v>218</v>
      </c>
      <c r="H145" s="12">
        <v>650</v>
      </c>
      <c r="I145" s="15">
        <f t="shared" si="12"/>
        <v>0.86954160318698026</v>
      </c>
      <c r="J145" s="15">
        <f t="shared" si="13"/>
        <v>0.13101063259756879</v>
      </c>
      <c r="K145" s="14">
        <f t="shared" si="15"/>
        <v>2.1593090211132436E-4</v>
      </c>
      <c r="L145" s="14">
        <f t="shared" si="16"/>
        <v>1.0896513115802944E-4</v>
      </c>
      <c r="M145" s="16">
        <f t="shared" si="14"/>
        <v>3.2489603326935383E-4</v>
      </c>
    </row>
    <row r="146" spans="1:13" x14ac:dyDescent="0.3">
      <c r="A146" t="s">
        <v>41</v>
      </c>
      <c r="B146" s="12">
        <v>2011</v>
      </c>
      <c r="C146" s="13">
        <v>1744465.7040000004</v>
      </c>
      <c r="D146">
        <v>258420.30999999997</v>
      </c>
      <c r="E146" s="12">
        <v>2004554</v>
      </c>
      <c r="F146" s="13">
        <v>470</v>
      </c>
      <c r="G146">
        <v>294</v>
      </c>
      <c r="H146" s="12">
        <v>764</v>
      </c>
      <c r="I146" s="15">
        <f t="shared" si="12"/>
        <v>0.87025128981309574</v>
      </c>
      <c r="J146" s="15">
        <f t="shared" si="13"/>
        <v>0.12891661187476117</v>
      </c>
      <c r="K146" s="14">
        <f t="shared" si="15"/>
        <v>2.3446612064329523E-4</v>
      </c>
      <c r="L146" s="14">
        <f t="shared" si="16"/>
        <v>1.4666604142367828E-4</v>
      </c>
      <c r="M146" s="16">
        <f t="shared" si="14"/>
        <v>3.8113216206697351E-4</v>
      </c>
    </row>
    <row r="147" spans="1:13" x14ac:dyDescent="0.3">
      <c r="A147" t="s">
        <v>34</v>
      </c>
      <c r="B147" s="12">
        <v>2017</v>
      </c>
      <c r="C147" s="13">
        <v>2019617</v>
      </c>
      <c r="D147">
        <v>347215</v>
      </c>
      <c r="E147" s="12">
        <v>2366832</v>
      </c>
      <c r="F147" s="13">
        <v>465</v>
      </c>
      <c r="G147">
        <v>589</v>
      </c>
      <c r="H147" s="12">
        <v>1054</v>
      </c>
      <c r="I147" s="15">
        <f t="shared" si="12"/>
        <v>0.8532996849797535</v>
      </c>
      <c r="J147" s="15">
        <f t="shared" si="13"/>
        <v>0.14670031502024647</v>
      </c>
      <c r="K147" s="14">
        <f t="shared" si="15"/>
        <v>1.9646514835019977E-4</v>
      </c>
      <c r="L147" s="14">
        <f t="shared" si="16"/>
        <v>2.4885585457691967E-4</v>
      </c>
      <c r="M147" s="16">
        <f t="shared" si="14"/>
        <v>4.4532100292711947E-4</v>
      </c>
    </row>
    <row r="148" spans="1:13" x14ac:dyDescent="0.3">
      <c r="A148" t="s">
        <v>13</v>
      </c>
      <c r="B148" s="12">
        <v>2014</v>
      </c>
      <c r="C148" s="13">
        <v>2224694.0789999994</v>
      </c>
      <c r="D148">
        <v>380861.74400000001</v>
      </c>
      <c r="E148" s="12">
        <v>2605417</v>
      </c>
      <c r="F148" s="13">
        <v>450</v>
      </c>
      <c r="G148">
        <v>537</v>
      </c>
      <c r="H148" s="12">
        <v>987</v>
      </c>
      <c r="I148" s="15">
        <f t="shared" si="12"/>
        <v>0.8538725582123704</v>
      </c>
      <c r="J148" s="15">
        <f t="shared" si="13"/>
        <v>0.14618072423723344</v>
      </c>
      <c r="K148" s="14">
        <f t="shared" si="15"/>
        <v>1.7271707369684007E-4</v>
      </c>
      <c r="L148" s="14">
        <f t="shared" si="16"/>
        <v>2.0610904127822915E-4</v>
      </c>
      <c r="M148" s="16">
        <f t="shared" si="14"/>
        <v>3.7882611497506925E-4</v>
      </c>
    </row>
    <row r="149" spans="1:13" x14ac:dyDescent="0.3">
      <c r="A149" t="s">
        <v>13</v>
      </c>
      <c r="B149" s="12">
        <v>2016</v>
      </c>
      <c r="C149" s="13">
        <v>2229195.622</v>
      </c>
      <c r="D149">
        <v>396603.85199999996</v>
      </c>
      <c r="E149" s="12">
        <v>2626239</v>
      </c>
      <c r="F149" s="13">
        <v>407</v>
      </c>
      <c r="G149">
        <v>517</v>
      </c>
      <c r="H149" s="12">
        <v>924</v>
      </c>
      <c r="I149" s="15">
        <f t="shared" si="12"/>
        <v>0.84881673830904192</v>
      </c>
      <c r="J149" s="15">
        <f t="shared" si="13"/>
        <v>0.15101590220844333</v>
      </c>
      <c r="K149" s="14">
        <f t="shared" si="15"/>
        <v>1.5497447109726113E-4</v>
      </c>
      <c r="L149" s="14">
        <f t="shared" si="16"/>
        <v>1.9685946328571011E-4</v>
      </c>
      <c r="M149" s="16">
        <f t="shared" si="14"/>
        <v>3.5183393438297124E-4</v>
      </c>
    </row>
    <row r="150" spans="1:13" x14ac:dyDescent="0.3">
      <c r="A150" t="s">
        <v>25</v>
      </c>
      <c r="B150" s="12">
        <v>2017</v>
      </c>
      <c r="C150" s="13">
        <v>2247914</v>
      </c>
      <c r="D150">
        <v>412990</v>
      </c>
      <c r="E150" s="12">
        <v>2660904</v>
      </c>
      <c r="F150" s="13">
        <v>460</v>
      </c>
      <c r="G150">
        <v>497</v>
      </c>
      <c r="H150" s="12">
        <v>957</v>
      </c>
      <c r="I150" s="15">
        <f t="shared" si="12"/>
        <v>0.84479334842594844</v>
      </c>
      <c r="J150" s="15">
        <f t="shared" si="13"/>
        <v>0.15520665157405153</v>
      </c>
      <c r="K150" s="14">
        <f t="shared" si="15"/>
        <v>1.7287357980596069E-4</v>
      </c>
      <c r="L150" s="14">
        <f t="shared" si="16"/>
        <v>1.8677862861644012E-4</v>
      </c>
      <c r="M150" s="16">
        <f t="shared" si="14"/>
        <v>3.5965220842240083E-4</v>
      </c>
    </row>
    <row r="151" spans="1:13" x14ac:dyDescent="0.3">
      <c r="A151" t="s">
        <v>38</v>
      </c>
      <c r="B151" s="12">
        <v>2009</v>
      </c>
      <c r="C151" s="13">
        <v>2250670.7129999995</v>
      </c>
      <c r="D151">
        <v>287539.783</v>
      </c>
      <c r="E151" s="12">
        <v>2534911</v>
      </c>
      <c r="F151" s="13">
        <v>448</v>
      </c>
      <c r="G151">
        <v>347</v>
      </c>
      <c r="H151" s="12">
        <v>795</v>
      </c>
      <c r="I151" s="15">
        <f t="shared" si="12"/>
        <v>0.88786971731946385</v>
      </c>
      <c r="J151" s="15">
        <f t="shared" si="13"/>
        <v>0.1134319047098695</v>
      </c>
      <c r="K151" s="14">
        <f t="shared" si="15"/>
        <v>1.7673204305792195E-4</v>
      </c>
      <c r="L151" s="14">
        <f t="shared" si="16"/>
        <v>1.3688843513638151E-4</v>
      </c>
      <c r="M151" s="16">
        <f t="shared" si="14"/>
        <v>3.1362047819430346E-4</v>
      </c>
    </row>
    <row r="152" spans="1:13" x14ac:dyDescent="0.3">
      <c r="A152" t="s">
        <v>25</v>
      </c>
      <c r="B152" s="12">
        <v>2016</v>
      </c>
      <c r="C152" s="13">
        <v>2311921.3600000003</v>
      </c>
      <c r="D152">
        <v>416589.34299999999</v>
      </c>
      <c r="E152" s="12">
        <v>2728192</v>
      </c>
      <c r="F152" s="13">
        <v>374</v>
      </c>
      <c r="G152">
        <v>409</v>
      </c>
      <c r="H152" s="12">
        <v>783</v>
      </c>
      <c r="I152" s="15">
        <f t="shared" si="12"/>
        <v>0.8474188620155767</v>
      </c>
      <c r="J152" s="15">
        <f t="shared" si="13"/>
        <v>0.15269795637550437</v>
      </c>
      <c r="K152" s="14">
        <f t="shared" si="15"/>
        <v>1.3708712583278596E-4</v>
      </c>
      <c r="L152" s="14">
        <f t="shared" si="16"/>
        <v>1.4991613493478464E-4</v>
      </c>
      <c r="M152" s="16">
        <f t="shared" si="14"/>
        <v>2.870032607675706E-4</v>
      </c>
    </row>
    <row r="153" spans="1:13" x14ac:dyDescent="0.3">
      <c r="A153" t="s">
        <v>25</v>
      </c>
      <c r="B153" s="12">
        <v>2014</v>
      </c>
      <c r="C153" s="13">
        <v>2315151.9499999997</v>
      </c>
      <c r="D153">
        <v>400292.60700000002</v>
      </c>
      <c r="E153" s="12">
        <v>2715855</v>
      </c>
      <c r="F153" s="13">
        <v>448</v>
      </c>
      <c r="G153">
        <v>516</v>
      </c>
      <c r="H153" s="12">
        <v>964</v>
      </c>
      <c r="I153" s="15">
        <f t="shared" si="12"/>
        <v>0.85245786317752592</v>
      </c>
      <c r="J153" s="15">
        <f t="shared" si="13"/>
        <v>0.14739100835648442</v>
      </c>
      <c r="K153" s="14">
        <f t="shared" si="15"/>
        <v>1.6495726023664739E-4</v>
      </c>
      <c r="L153" s="14">
        <f t="shared" si="16"/>
        <v>1.8999541580828137E-4</v>
      </c>
      <c r="M153" s="16">
        <f t="shared" si="14"/>
        <v>3.5495267604492876E-4</v>
      </c>
    </row>
    <row r="154" spans="1:13" x14ac:dyDescent="0.3">
      <c r="A154" t="s">
        <v>34</v>
      </c>
      <c r="B154" s="12">
        <v>2014</v>
      </c>
      <c r="C154" s="13">
        <v>2315482.5740000005</v>
      </c>
      <c r="D154">
        <v>369023.799</v>
      </c>
      <c r="E154" s="12">
        <v>2684587</v>
      </c>
      <c r="F154" s="13">
        <v>451</v>
      </c>
      <c r="G154">
        <v>555</v>
      </c>
      <c r="H154" s="12">
        <v>1006</v>
      </c>
      <c r="I154" s="15">
        <f t="shared" si="12"/>
        <v>0.86250979163647912</v>
      </c>
      <c r="J154" s="15">
        <f t="shared" si="13"/>
        <v>0.13746017506603436</v>
      </c>
      <c r="K154" s="14">
        <f t="shared" si="15"/>
        <v>1.6799604557423545E-4</v>
      </c>
      <c r="L154" s="14">
        <f t="shared" si="16"/>
        <v>2.0673571018558907E-4</v>
      </c>
      <c r="M154" s="16">
        <f t="shared" si="14"/>
        <v>3.7473175575982451E-4</v>
      </c>
    </row>
    <row r="155" spans="1:13" x14ac:dyDescent="0.3">
      <c r="A155" t="s">
        <v>26</v>
      </c>
      <c r="B155" s="12">
        <v>2013</v>
      </c>
      <c r="C155" s="13">
        <v>2318866.6940000001</v>
      </c>
      <c r="D155">
        <v>352205.13799999998</v>
      </c>
      <c r="E155" s="12">
        <v>2671957</v>
      </c>
      <c r="F155" s="13">
        <v>414</v>
      </c>
      <c r="G155">
        <v>597</v>
      </c>
      <c r="H155" s="12">
        <v>1011</v>
      </c>
      <c r="I155" s="15">
        <f t="shared" si="12"/>
        <v>0.86785329778884923</v>
      </c>
      <c r="J155" s="15">
        <f t="shared" si="13"/>
        <v>0.13181542143080893</v>
      </c>
      <c r="K155" s="14">
        <f t="shared" si="15"/>
        <v>1.5494261322319185E-4</v>
      </c>
      <c r="L155" s="14">
        <f t="shared" si="16"/>
        <v>2.2343173935808098E-4</v>
      </c>
      <c r="M155" s="16">
        <f t="shared" si="14"/>
        <v>3.7837435258127283E-4</v>
      </c>
    </row>
    <row r="156" spans="1:13" x14ac:dyDescent="0.3">
      <c r="A156" t="s">
        <v>26</v>
      </c>
      <c r="B156" s="12">
        <v>2017</v>
      </c>
      <c r="C156" s="13">
        <v>2321144</v>
      </c>
      <c r="D156">
        <v>393739</v>
      </c>
      <c r="E156" s="12">
        <v>2714883</v>
      </c>
      <c r="F156" s="13">
        <v>425</v>
      </c>
      <c r="G156">
        <v>468</v>
      </c>
      <c r="H156" s="12">
        <v>893</v>
      </c>
      <c r="I156" s="15">
        <f t="shared" si="12"/>
        <v>0.85497017735202585</v>
      </c>
      <c r="J156" s="15">
        <f t="shared" si="13"/>
        <v>0.14502982264797415</v>
      </c>
      <c r="K156" s="14">
        <f t="shared" si="15"/>
        <v>1.565444993393822E-4</v>
      </c>
      <c r="L156" s="14">
        <f t="shared" si="16"/>
        <v>1.7238311927254322E-4</v>
      </c>
      <c r="M156" s="16">
        <f t="shared" si="14"/>
        <v>3.2892761861192543E-4</v>
      </c>
    </row>
    <row r="157" spans="1:13" x14ac:dyDescent="0.3">
      <c r="A157" t="s">
        <v>13</v>
      </c>
      <c r="B157" s="12">
        <v>2015</v>
      </c>
      <c r="C157" s="13">
        <v>2323542.6290000002</v>
      </c>
      <c r="D157">
        <v>414375.35100000002</v>
      </c>
      <c r="E157" s="12">
        <v>2738361</v>
      </c>
      <c r="F157" s="13">
        <v>430</v>
      </c>
      <c r="G157">
        <v>549</v>
      </c>
      <c r="H157" s="12">
        <v>979</v>
      </c>
      <c r="I157" s="15">
        <f t="shared" si="12"/>
        <v>0.8485158198645103</v>
      </c>
      <c r="J157" s="15">
        <f t="shared" si="13"/>
        <v>0.15132239722958368</v>
      </c>
      <c r="K157" s="14">
        <f t="shared" si="15"/>
        <v>1.5702823696364359E-4</v>
      </c>
      <c r="L157" s="14">
        <f t="shared" si="16"/>
        <v>2.0048488858846587E-4</v>
      </c>
      <c r="M157" s="16">
        <f t="shared" si="14"/>
        <v>3.5751312555210946E-4</v>
      </c>
    </row>
    <row r="158" spans="1:13" x14ac:dyDescent="0.3">
      <c r="A158" t="s">
        <v>38</v>
      </c>
      <c r="B158" s="12">
        <v>2010</v>
      </c>
      <c r="C158" s="13">
        <v>2331275.6849999996</v>
      </c>
      <c r="D158">
        <v>301759.87200000003</v>
      </c>
      <c r="E158" s="12">
        <v>2633331</v>
      </c>
      <c r="F158" s="13">
        <v>421</v>
      </c>
      <c r="G158">
        <v>295</v>
      </c>
      <c r="H158" s="12">
        <v>716</v>
      </c>
      <c r="I158" s="15">
        <f t="shared" si="12"/>
        <v>0.88529534836296675</v>
      </c>
      <c r="J158" s="15">
        <f t="shared" si="13"/>
        <v>0.11459245799331721</v>
      </c>
      <c r="K158" s="14">
        <f t="shared" si="15"/>
        <v>1.5987355938163489E-4</v>
      </c>
      <c r="L158" s="14">
        <f t="shared" si="16"/>
        <v>1.1202541571872279E-4</v>
      </c>
      <c r="M158" s="16">
        <f t="shared" si="14"/>
        <v>2.7189897510035768E-4</v>
      </c>
    </row>
    <row r="159" spans="1:13" x14ac:dyDescent="0.3">
      <c r="A159" t="s">
        <v>38</v>
      </c>
      <c r="B159" s="12">
        <v>2012</v>
      </c>
      <c r="C159" s="13">
        <v>2345049.1880000001</v>
      </c>
      <c r="D159">
        <v>326416.68300000002</v>
      </c>
      <c r="E159" s="12">
        <v>2669454</v>
      </c>
      <c r="F159" s="13">
        <v>434</v>
      </c>
      <c r="G159">
        <v>354</v>
      </c>
      <c r="H159" s="12">
        <v>788</v>
      </c>
      <c r="I159" s="15">
        <f t="shared" si="12"/>
        <v>0.87847521927705075</v>
      </c>
      <c r="J159" s="15">
        <f t="shared" si="13"/>
        <v>0.12227844458080192</v>
      </c>
      <c r="K159" s="14">
        <f t="shared" si="15"/>
        <v>1.6258006318895174E-4</v>
      </c>
      <c r="L159" s="14">
        <f t="shared" si="16"/>
        <v>1.3261138794674865E-4</v>
      </c>
      <c r="M159" s="16">
        <f t="shared" si="14"/>
        <v>2.951914511357004E-4</v>
      </c>
    </row>
    <row r="160" spans="1:13" x14ac:dyDescent="0.3">
      <c r="A160" t="s">
        <v>34</v>
      </c>
      <c r="B160" s="12">
        <v>2016</v>
      </c>
      <c r="C160" s="13">
        <v>2347497.9789999998</v>
      </c>
      <c r="D160">
        <v>387205.27600000001</v>
      </c>
      <c r="E160" s="12">
        <v>2734849</v>
      </c>
      <c r="F160" s="13">
        <v>453</v>
      </c>
      <c r="G160">
        <v>617</v>
      </c>
      <c r="H160" s="12">
        <v>1070</v>
      </c>
      <c r="I160" s="15">
        <f t="shared" si="12"/>
        <v>0.8583647503024846</v>
      </c>
      <c r="J160" s="15">
        <f t="shared" si="13"/>
        <v>0.14158195790699962</v>
      </c>
      <c r="K160" s="14">
        <f t="shared" si="15"/>
        <v>1.6563985799581622E-4</v>
      </c>
      <c r="L160" s="14">
        <f t="shared" si="16"/>
        <v>2.2560660570291084E-4</v>
      </c>
      <c r="M160" s="16">
        <f t="shared" si="14"/>
        <v>3.9124646369872708E-4</v>
      </c>
    </row>
    <row r="161" spans="1:13" x14ac:dyDescent="0.3">
      <c r="A161" t="s">
        <v>26</v>
      </c>
      <c r="B161" s="12">
        <v>2014</v>
      </c>
      <c r="C161" s="13">
        <v>2354476.6739999996</v>
      </c>
      <c r="D161">
        <v>368061.12199999997</v>
      </c>
      <c r="E161" s="12">
        <v>2722708</v>
      </c>
      <c r="F161" s="13">
        <v>441</v>
      </c>
      <c r="G161">
        <v>515</v>
      </c>
      <c r="H161" s="12">
        <v>956</v>
      </c>
      <c r="I161" s="15">
        <f t="shared" si="12"/>
        <v>0.86475548387855017</v>
      </c>
      <c r="J161" s="15">
        <f t="shared" si="13"/>
        <v>0.13518200335842109</v>
      </c>
      <c r="K161" s="14">
        <f t="shared" si="15"/>
        <v>1.6197109642311993E-4</v>
      </c>
      <c r="L161" s="14">
        <f t="shared" si="16"/>
        <v>1.8914991985919901E-4</v>
      </c>
      <c r="M161" s="16">
        <f t="shared" si="14"/>
        <v>3.5112101628231895E-4</v>
      </c>
    </row>
    <row r="162" spans="1:13" x14ac:dyDescent="0.3">
      <c r="A162" t="s">
        <v>38</v>
      </c>
      <c r="B162" s="12">
        <v>2011</v>
      </c>
      <c r="C162" s="13">
        <v>2354675.5890000002</v>
      </c>
      <c r="D162">
        <v>314395.99099999998</v>
      </c>
      <c r="E162" s="12">
        <v>2667327</v>
      </c>
      <c r="F162" s="13">
        <v>443</v>
      </c>
      <c r="G162">
        <v>317</v>
      </c>
      <c r="H162" s="12">
        <v>760</v>
      </c>
      <c r="I162" s="15">
        <f t="shared" si="12"/>
        <v>0.88278474630219694</v>
      </c>
      <c r="J162" s="15">
        <f t="shared" si="13"/>
        <v>0.1178693092373001</v>
      </c>
      <c r="K162" s="14">
        <f t="shared" si="15"/>
        <v>1.6608387348082931E-4</v>
      </c>
      <c r="L162" s="14">
        <f t="shared" si="16"/>
        <v>1.1884557086551442E-4</v>
      </c>
      <c r="M162" s="16">
        <f t="shared" si="14"/>
        <v>2.8492944434634375E-4</v>
      </c>
    </row>
    <row r="163" spans="1:13" x14ac:dyDescent="0.3">
      <c r="A163" t="s">
        <v>38</v>
      </c>
      <c r="B163" s="12">
        <v>2014</v>
      </c>
      <c r="C163" s="13">
        <v>2357522.7459999998</v>
      </c>
      <c r="D163">
        <v>352140.33999999997</v>
      </c>
      <c r="E163" s="12">
        <v>2710050</v>
      </c>
      <c r="F163" s="13">
        <v>469</v>
      </c>
      <c r="G163">
        <v>503</v>
      </c>
      <c r="H163" s="12">
        <v>972</v>
      </c>
      <c r="I163" s="15">
        <f t="shared" si="12"/>
        <v>0.86991854246231615</v>
      </c>
      <c r="J163" s="15">
        <f t="shared" si="13"/>
        <v>0.12993868747809079</v>
      </c>
      <c r="K163" s="14">
        <f t="shared" si="15"/>
        <v>1.7305953764690688E-4</v>
      </c>
      <c r="L163" s="14">
        <f t="shared" si="16"/>
        <v>1.8560543163410268E-4</v>
      </c>
      <c r="M163" s="16">
        <f t="shared" si="14"/>
        <v>3.5866496928100959E-4</v>
      </c>
    </row>
    <row r="164" spans="1:13" x14ac:dyDescent="0.3">
      <c r="A164" t="s">
        <v>26</v>
      </c>
      <c r="B164" s="12">
        <v>2016</v>
      </c>
      <c r="C164" s="13">
        <v>2358520.773</v>
      </c>
      <c r="D164">
        <v>384869.66600000003</v>
      </c>
      <c r="E164" s="12">
        <v>2741649</v>
      </c>
      <c r="F164" s="13">
        <v>436</v>
      </c>
      <c r="G164">
        <v>448</v>
      </c>
      <c r="H164" s="12">
        <v>884</v>
      </c>
      <c r="I164" s="15">
        <f t="shared" si="12"/>
        <v>0.86025628116509445</v>
      </c>
      <c r="J164" s="15">
        <f t="shared" si="13"/>
        <v>0.14037889824700392</v>
      </c>
      <c r="K164" s="14">
        <f t="shared" si="15"/>
        <v>1.5902838036524735E-4</v>
      </c>
      <c r="L164" s="14">
        <f t="shared" si="16"/>
        <v>1.6340530826520827E-4</v>
      </c>
      <c r="M164" s="16">
        <f t="shared" si="14"/>
        <v>3.2243368863045562E-4</v>
      </c>
    </row>
    <row r="165" spans="1:13" x14ac:dyDescent="0.3">
      <c r="A165" t="s">
        <v>13</v>
      </c>
      <c r="B165" s="12">
        <v>2017</v>
      </c>
      <c r="C165" s="13">
        <v>2367426</v>
      </c>
      <c r="D165">
        <v>438946</v>
      </c>
      <c r="E165" s="12">
        <v>2806372</v>
      </c>
      <c r="F165" s="13">
        <v>422</v>
      </c>
      <c r="G165">
        <v>580</v>
      </c>
      <c r="H165" s="12">
        <v>1002</v>
      </c>
      <c r="I165" s="15">
        <f t="shared" si="12"/>
        <v>0.84358951699917184</v>
      </c>
      <c r="J165" s="15">
        <f t="shared" si="13"/>
        <v>0.1564104830008281</v>
      </c>
      <c r="K165" s="14">
        <f t="shared" si="15"/>
        <v>1.5037208181951646E-4</v>
      </c>
      <c r="L165" s="14">
        <f t="shared" si="16"/>
        <v>2.0667252951497522E-4</v>
      </c>
      <c r="M165" s="16">
        <f t="shared" si="14"/>
        <v>3.5704461133449165E-4</v>
      </c>
    </row>
    <row r="166" spans="1:13" x14ac:dyDescent="0.3">
      <c r="A166" t="s">
        <v>34</v>
      </c>
      <c r="B166" s="12">
        <v>2015</v>
      </c>
      <c r="C166" s="13">
        <v>2369483.0510000004</v>
      </c>
      <c r="D166">
        <v>378589.554</v>
      </c>
      <c r="E166" s="12">
        <v>2747550</v>
      </c>
      <c r="F166" s="13">
        <v>432</v>
      </c>
      <c r="G166">
        <v>639</v>
      </c>
      <c r="H166" s="12">
        <v>1071</v>
      </c>
      <c r="I166" s="15">
        <f t="shared" si="12"/>
        <v>0.86239851904423959</v>
      </c>
      <c r="J166" s="15">
        <f t="shared" si="13"/>
        <v>0.137791688595294</v>
      </c>
      <c r="K166" s="14">
        <f t="shared" si="15"/>
        <v>1.5723098760714091E-4</v>
      </c>
      <c r="L166" s="14">
        <f t="shared" si="16"/>
        <v>2.3257083583556261E-4</v>
      </c>
      <c r="M166" s="16">
        <f t="shared" si="14"/>
        <v>3.8980182344270351E-4</v>
      </c>
    </row>
    <row r="167" spans="1:13" x14ac:dyDescent="0.3">
      <c r="A167" t="s">
        <v>26</v>
      </c>
      <c r="B167" s="12">
        <v>2010</v>
      </c>
      <c r="C167" s="13">
        <v>2372934.7879999992</v>
      </c>
      <c r="D167">
        <v>355943.44200000004</v>
      </c>
      <c r="E167" s="12">
        <v>2728651</v>
      </c>
      <c r="F167" s="13">
        <v>424</v>
      </c>
      <c r="G167">
        <v>473</v>
      </c>
      <c r="H167" s="12">
        <v>897</v>
      </c>
      <c r="I167" s="15">
        <f t="shared" si="12"/>
        <v>0.86963660358176964</v>
      </c>
      <c r="J167" s="15">
        <f t="shared" si="13"/>
        <v>0.13044667200019353</v>
      </c>
      <c r="K167" s="14">
        <f t="shared" si="15"/>
        <v>1.5538813868098191E-4</v>
      </c>
      <c r="L167" s="14">
        <f t="shared" si="16"/>
        <v>1.7334573017949162E-4</v>
      </c>
      <c r="M167" s="16">
        <f t="shared" si="14"/>
        <v>3.2873386886047353E-4</v>
      </c>
    </row>
    <row r="168" spans="1:13" x14ac:dyDescent="0.3">
      <c r="A168" t="s">
        <v>26</v>
      </c>
      <c r="B168" s="12">
        <v>2011</v>
      </c>
      <c r="C168" s="13">
        <v>2377584.8150000004</v>
      </c>
      <c r="D168">
        <v>355419.89799999999</v>
      </c>
      <c r="E168" s="12">
        <v>2733429</v>
      </c>
      <c r="F168" s="13">
        <v>424</v>
      </c>
      <c r="G168">
        <v>551</v>
      </c>
      <c r="H168" s="12">
        <v>975</v>
      </c>
      <c r="I168" s="15">
        <f t="shared" si="12"/>
        <v>0.86981765943070055</v>
      </c>
      <c r="J168" s="15">
        <f t="shared" si="13"/>
        <v>0.13002711905083322</v>
      </c>
      <c r="K168" s="14">
        <f t="shared" si="15"/>
        <v>1.5511652214123724E-4</v>
      </c>
      <c r="L168" s="14">
        <f t="shared" si="16"/>
        <v>2.0157831061278709E-4</v>
      </c>
      <c r="M168" s="16">
        <f t="shared" si="14"/>
        <v>3.5669483275402433E-4</v>
      </c>
    </row>
    <row r="169" spans="1:13" x14ac:dyDescent="0.3">
      <c r="A169" t="s">
        <v>38</v>
      </c>
      <c r="B169" s="12">
        <v>2013</v>
      </c>
      <c r="C169" s="13">
        <v>2378387.5579999997</v>
      </c>
      <c r="D169">
        <v>343911.67700000003</v>
      </c>
      <c r="E169" s="12">
        <v>2724791</v>
      </c>
      <c r="F169" s="13">
        <v>467</v>
      </c>
      <c r="G169">
        <v>330</v>
      </c>
      <c r="H169" s="12">
        <v>797</v>
      </c>
      <c r="I169" s="15">
        <f t="shared" si="12"/>
        <v>0.87286972028313359</v>
      </c>
      <c r="J169" s="15">
        <f t="shared" si="13"/>
        <v>0.12621580040450811</v>
      </c>
      <c r="K169" s="14">
        <f t="shared" si="15"/>
        <v>1.7138929187596405E-4</v>
      </c>
      <c r="L169" s="14">
        <f t="shared" si="16"/>
        <v>1.2111020625068124E-4</v>
      </c>
      <c r="M169" s="16">
        <f t="shared" si="14"/>
        <v>2.9249949812664528E-4</v>
      </c>
    </row>
    <row r="170" spans="1:13" x14ac:dyDescent="0.3">
      <c r="A170" t="s">
        <v>26</v>
      </c>
      <c r="B170" s="12">
        <v>2015</v>
      </c>
      <c r="C170" s="13">
        <v>2382229.5700000003</v>
      </c>
      <c r="D170">
        <v>385218.79200000007</v>
      </c>
      <c r="E170" s="12">
        <v>2767279</v>
      </c>
      <c r="F170" s="13">
        <v>458</v>
      </c>
      <c r="G170">
        <v>573</v>
      </c>
      <c r="H170" s="12">
        <v>1031</v>
      </c>
      <c r="I170" s="15">
        <f t="shared" si="12"/>
        <v>0.86085630324950979</v>
      </c>
      <c r="J170" s="15">
        <f t="shared" si="13"/>
        <v>0.13920489838574285</v>
      </c>
      <c r="K170" s="14">
        <f t="shared" si="15"/>
        <v>1.6550553811162517E-4</v>
      </c>
      <c r="L170" s="14">
        <f t="shared" si="16"/>
        <v>2.0706260554140005E-4</v>
      </c>
      <c r="M170" s="16">
        <f t="shared" si="14"/>
        <v>3.7256814365302523E-4</v>
      </c>
    </row>
    <row r="171" spans="1:13" x14ac:dyDescent="0.3">
      <c r="A171" t="s">
        <v>54</v>
      </c>
      <c r="B171" s="12">
        <v>2011</v>
      </c>
      <c r="C171" s="13">
        <v>2396234.1469999999</v>
      </c>
      <c r="D171">
        <v>239460.573</v>
      </c>
      <c r="E171" s="12">
        <v>2633633</v>
      </c>
      <c r="F171" s="13">
        <v>422</v>
      </c>
      <c r="G171">
        <v>296</v>
      </c>
      <c r="H171" s="12">
        <v>718</v>
      </c>
      <c r="I171" s="15">
        <f t="shared" si="12"/>
        <v>0.90985879467640318</v>
      </c>
      <c r="J171" s="15">
        <f t="shared" si="13"/>
        <v>9.0924047883664885E-2</v>
      </c>
      <c r="K171" s="14">
        <f t="shared" si="15"/>
        <v>1.6023493022756017E-4</v>
      </c>
      <c r="L171" s="14">
        <f t="shared" si="16"/>
        <v>1.1239227333497112E-4</v>
      </c>
      <c r="M171" s="16">
        <f t="shared" si="14"/>
        <v>2.7262720356253131E-4</v>
      </c>
    </row>
    <row r="172" spans="1:13" x14ac:dyDescent="0.3">
      <c r="A172" t="s">
        <v>13</v>
      </c>
      <c r="B172" s="12">
        <v>2012</v>
      </c>
      <c r="C172" s="13">
        <v>2398239.0969999996</v>
      </c>
      <c r="D172">
        <v>403278.37800000003</v>
      </c>
      <c r="E172" s="12">
        <v>2801685</v>
      </c>
      <c r="F172" s="13">
        <v>452</v>
      </c>
      <c r="G172">
        <v>589</v>
      </c>
      <c r="H172" s="12">
        <v>1041</v>
      </c>
      <c r="I172" s="15">
        <f t="shared" si="12"/>
        <v>0.85599883534373056</v>
      </c>
      <c r="J172" s="15">
        <f t="shared" si="13"/>
        <v>0.1439413702825264</v>
      </c>
      <c r="K172" s="14">
        <f t="shared" si="15"/>
        <v>1.6133148444596733E-4</v>
      </c>
      <c r="L172" s="14">
        <f t="shared" si="16"/>
        <v>2.1023062906786453E-4</v>
      </c>
      <c r="M172" s="16">
        <f t="shared" si="14"/>
        <v>3.7156211351383183E-4</v>
      </c>
    </row>
    <row r="173" spans="1:13" x14ac:dyDescent="0.3">
      <c r="A173" t="s">
        <v>54</v>
      </c>
      <c r="B173" s="12">
        <v>2009</v>
      </c>
      <c r="C173" s="13">
        <v>2402324.6940000001</v>
      </c>
      <c r="D173">
        <v>231879.217</v>
      </c>
      <c r="E173" s="12">
        <v>2632280</v>
      </c>
      <c r="F173" s="13">
        <v>466</v>
      </c>
      <c r="G173">
        <v>239</v>
      </c>
      <c r="H173" s="12">
        <v>705</v>
      </c>
      <c r="I173" s="15">
        <f t="shared" si="12"/>
        <v>0.91264025635570689</v>
      </c>
      <c r="J173" s="15">
        <f t="shared" si="13"/>
        <v>8.8090635114805416E-2</v>
      </c>
      <c r="K173" s="14">
        <f t="shared" si="15"/>
        <v>1.7703283845183642E-4</v>
      </c>
      <c r="L173" s="14">
        <f t="shared" si="16"/>
        <v>9.0795811995684355E-5</v>
      </c>
      <c r="M173" s="16">
        <f t="shared" si="14"/>
        <v>2.6782865044752078E-4</v>
      </c>
    </row>
    <row r="174" spans="1:13" x14ac:dyDescent="0.3">
      <c r="A174" t="s">
        <v>34</v>
      </c>
      <c r="B174" s="12">
        <v>2011</v>
      </c>
      <c r="C174" s="13">
        <v>2404939.9880000004</v>
      </c>
      <c r="D174">
        <v>347002.89100000006</v>
      </c>
      <c r="E174" s="12">
        <v>2752624</v>
      </c>
      <c r="F174" s="13">
        <v>471</v>
      </c>
      <c r="G174">
        <v>477</v>
      </c>
      <c r="H174" s="12">
        <v>948</v>
      </c>
      <c r="I174" s="15">
        <f t="shared" si="12"/>
        <v>0.87368997291311867</v>
      </c>
      <c r="J174" s="15">
        <f t="shared" si="13"/>
        <v>0.126062582830056</v>
      </c>
      <c r="K174" s="14">
        <f t="shared" si="15"/>
        <v>1.7110945773923355E-4</v>
      </c>
      <c r="L174" s="14">
        <f t="shared" si="16"/>
        <v>1.7328919605438302E-4</v>
      </c>
      <c r="M174" s="16">
        <f t="shared" si="14"/>
        <v>3.4439865379361657E-4</v>
      </c>
    </row>
    <row r="175" spans="1:13" x14ac:dyDescent="0.3">
      <c r="A175" t="s">
        <v>38</v>
      </c>
      <c r="B175" s="12">
        <v>2015</v>
      </c>
      <c r="C175" s="13">
        <v>2405709.27</v>
      </c>
      <c r="D175">
        <v>376977.897</v>
      </c>
      <c r="E175" s="12">
        <v>2786021</v>
      </c>
      <c r="F175" s="13">
        <v>453</v>
      </c>
      <c r="G175">
        <v>474</v>
      </c>
      <c r="H175" s="12">
        <v>927</v>
      </c>
      <c r="I175" s="15">
        <f t="shared" si="12"/>
        <v>0.86349287029781896</v>
      </c>
      <c r="J175" s="15">
        <f t="shared" si="13"/>
        <v>0.13531050088997892</v>
      </c>
      <c r="K175" s="14">
        <f t="shared" si="15"/>
        <v>1.6259748221567606E-4</v>
      </c>
      <c r="L175" s="14">
        <f t="shared" si="16"/>
        <v>1.701351138415683E-4</v>
      </c>
      <c r="M175" s="16">
        <f t="shared" si="14"/>
        <v>3.3273259605724439E-4</v>
      </c>
    </row>
    <row r="176" spans="1:13" x14ac:dyDescent="0.3">
      <c r="A176" t="s">
        <v>13</v>
      </c>
      <c r="B176" s="12">
        <v>2013</v>
      </c>
      <c r="C176" s="13">
        <v>2406698.1850000001</v>
      </c>
      <c r="D176">
        <v>405408.07999999996</v>
      </c>
      <c r="E176" s="12">
        <v>2812846</v>
      </c>
      <c r="F176" s="13">
        <v>431</v>
      </c>
      <c r="G176">
        <v>649</v>
      </c>
      <c r="H176" s="12">
        <v>1080</v>
      </c>
      <c r="I176" s="15">
        <f t="shared" si="12"/>
        <v>0.85560965122157417</v>
      </c>
      <c r="J176" s="15">
        <f t="shared" si="13"/>
        <v>0.14412736424247896</v>
      </c>
      <c r="K176" s="14">
        <f t="shared" si="15"/>
        <v>1.532255942913334E-4</v>
      </c>
      <c r="L176" s="14">
        <f t="shared" si="16"/>
        <v>2.3072717098625379E-4</v>
      </c>
      <c r="M176" s="16">
        <f t="shared" si="14"/>
        <v>3.8395276527758719E-4</v>
      </c>
    </row>
    <row r="177" spans="1:13" x14ac:dyDescent="0.3">
      <c r="A177" t="s">
        <v>26</v>
      </c>
      <c r="B177" s="12">
        <v>2009</v>
      </c>
      <c r="C177" s="13">
        <v>2407803.8119999999</v>
      </c>
      <c r="D177">
        <v>357172.13799999998</v>
      </c>
      <c r="E177" s="12">
        <v>2765788</v>
      </c>
      <c r="F177" s="13">
        <v>444</v>
      </c>
      <c r="G177">
        <v>500</v>
      </c>
      <c r="H177" s="12">
        <v>944</v>
      </c>
      <c r="I177" s="15">
        <f t="shared" si="12"/>
        <v>0.87056701815178894</v>
      </c>
      <c r="J177" s="15">
        <f t="shared" si="13"/>
        <v>0.12913937655380672</v>
      </c>
      <c r="K177" s="14">
        <f t="shared" si="15"/>
        <v>1.60532911416204E-4</v>
      </c>
      <c r="L177" s="14">
        <f t="shared" si="16"/>
        <v>1.8078030564887837E-4</v>
      </c>
      <c r="M177" s="16">
        <f t="shared" si="14"/>
        <v>3.4131321706508237E-4</v>
      </c>
    </row>
    <row r="178" spans="1:13" x14ac:dyDescent="0.3">
      <c r="A178" t="s">
        <v>38</v>
      </c>
      <c r="B178" s="12">
        <v>2017</v>
      </c>
      <c r="C178" s="13">
        <v>2411699</v>
      </c>
      <c r="D178">
        <v>407062</v>
      </c>
      <c r="E178" s="12">
        <v>2818761</v>
      </c>
      <c r="F178" s="13">
        <v>460</v>
      </c>
      <c r="G178">
        <v>447</v>
      </c>
      <c r="H178" s="12">
        <v>907</v>
      </c>
      <c r="I178" s="15">
        <f t="shared" si="12"/>
        <v>0.85558832408991048</v>
      </c>
      <c r="J178" s="15">
        <f t="shared" si="13"/>
        <v>0.14441167591008958</v>
      </c>
      <c r="K178" s="14">
        <f t="shared" si="15"/>
        <v>1.6319226780844493E-4</v>
      </c>
      <c r="L178" s="14">
        <f t="shared" si="16"/>
        <v>1.5858031241385842E-4</v>
      </c>
      <c r="M178" s="16">
        <f t="shared" si="14"/>
        <v>3.2177258022230337E-4</v>
      </c>
    </row>
    <row r="179" spans="1:13" x14ac:dyDescent="0.3">
      <c r="A179" t="s">
        <v>38</v>
      </c>
      <c r="B179" s="12">
        <v>2016</v>
      </c>
      <c r="C179" s="13">
        <v>2417053.71</v>
      </c>
      <c r="D179">
        <v>401912.06399999995</v>
      </c>
      <c r="E179" s="12">
        <v>2821018</v>
      </c>
      <c r="F179" s="13">
        <v>452</v>
      </c>
      <c r="G179">
        <v>411</v>
      </c>
      <c r="H179" s="12">
        <v>863</v>
      </c>
      <c r="I179" s="15">
        <f t="shared" si="12"/>
        <v>0.85680194525522346</v>
      </c>
      <c r="J179" s="15">
        <f t="shared" si="13"/>
        <v>0.14247057764253895</v>
      </c>
      <c r="K179" s="14">
        <f t="shared" si="15"/>
        <v>1.6022584754865087E-4</v>
      </c>
      <c r="L179" s="14">
        <f t="shared" si="16"/>
        <v>1.4569208704091926E-4</v>
      </c>
      <c r="M179" s="16">
        <f t="shared" si="14"/>
        <v>3.0591793458957013E-4</v>
      </c>
    </row>
    <row r="180" spans="1:13" x14ac:dyDescent="0.3">
      <c r="A180" t="s">
        <v>26</v>
      </c>
      <c r="B180" s="12">
        <v>2012</v>
      </c>
      <c r="C180" s="13">
        <v>2419309.7770000002</v>
      </c>
      <c r="D180">
        <v>364201.97499999998</v>
      </c>
      <c r="E180" s="12">
        <v>2782137</v>
      </c>
      <c r="F180" s="13">
        <v>437</v>
      </c>
      <c r="G180">
        <v>554</v>
      </c>
      <c r="H180" s="12">
        <v>991</v>
      </c>
      <c r="I180" s="15">
        <f t="shared" si="12"/>
        <v>0.86958685966938376</v>
      </c>
      <c r="J180" s="15">
        <f t="shared" si="13"/>
        <v>0.13090727559426441</v>
      </c>
      <c r="K180" s="14">
        <f t="shared" si="15"/>
        <v>1.5707350141276293E-4</v>
      </c>
      <c r="L180" s="14">
        <f t="shared" si="16"/>
        <v>1.9912750522350266E-4</v>
      </c>
      <c r="M180" s="16">
        <f t="shared" si="14"/>
        <v>3.5620100663626559E-4</v>
      </c>
    </row>
    <row r="181" spans="1:13" x14ac:dyDescent="0.3">
      <c r="A181" t="s">
        <v>54</v>
      </c>
      <c r="B181" s="12">
        <v>2010</v>
      </c>
      <c r="C181" s="13">
        <v>2421045.5830000006</v>
      </c>
      <c r="D181">
        <v>235119.82699999999</v>
      </c>
      <c r="E181" s="12">
        <v>2655575</v>
      </c>
      <c r="F181" s="13">
        <v>437</v>
      </c>
      <c r="G181">
        <v>299</v>
      </c>
      <c r="H181" s="12">
        <v>736</v>
      </c>
      <c r="I181" s="15">
        <f t="shared" si="12"/>
        <v>0.9116841298023971</v>
      </c>
      <c r="J181" s="15">
        <f t="shared" si="13"/>
        <v>8.8538198695197828E-2</v>
      </c>
      <c r="K181" s="14">
        <f t="shared" si="15"/>
        <v>1.6455946452274931E-4</v>
      </c>
      <c r="L181" s="14">
        <f t="shared" si="16"/>
        <v>1.1259331783135479E-4</v>
      </c>
      <c r="M181" s="16">
        <f t="shared" si="14"/>
        <v>2.771527823541041E-4</v>
      </c>
    </row>
    <row r="182" spans="1:13" x14ac:dyDescent="0.3">
      <c r="A182" t="s">
        <v>25</v>
      </c>
      <c r="B182" s="12">
        <v>2011</v>
      </c>
      <c r="C182" s="13">
        <v>2421811.0809999998</v>
      </c>
      <c r="D182">
        <v>417420.43500000011</v>
      </c>
      <c r="E182" s="12">
        <v>2839877</v>
      </c>
      <c r="F182" s="13">
        <v>445</v>
      </c>
      <c r="G182">
        <v>551</v>
      </c>
      <c r="H182" s="12">
        <v>996</v>
      </c>
      <c r="I182" s="15">
        <f t="shared" si="12"/>
        <v>0.85278731473229286</v>
      </c>
      <c r="J182" s="15">
        <f t="shared" si="13"/>
        <v>0.14698539232509017</v>
      </c>
      <c r="K182" s="14">
        <f t="shared" si="15"/>
        <v>1.5669692736692469E-4</v>
      </c>
      <c r="L182" s="14">
        <f t="shared" si="16"/>
        <v>1.9402248759365281E-4</v>
      </c>
      <c r="M182" s="16">
        <f t="shared" si="14"/>
        <v>3.507194149605775E-4</v>
      </c>
    </row>
    <row r="183" spans="1:13" x14ac:dyDescent="0.3">
      <c r="A183" t="s">
        <v>25</v>
      </c>
      <c r="B183" s="12">
        <v>2015</v>
      </c>
      <c r="C183" s="13">
        <v>2422981.2779999999</v>
      </c>
      <c r="D183">
        <v>435418.72400000005</v>
      </c>
      <c r="E183" s="12">
        <v>2858834</v>
      </c>
      <c r="F183" s="13">
        <v>469</v>
      </c>
      <c r="G183">
        <v>525</v>
      </c>
      <c r="H183" s="12">
        <v>994</v>
      </c>
      <c r="I183" s="15">
        <f t="shared" si="12"/>
        <v>0.84754178731608754</v>
      </c>
      <c r="J183" s="15">
        <f t="shared" si="13"/>
        <v>0.15230640323992231</v>
      </c>
      <c r="K183" s="14">
        <f t="shared" si="15"/>
        <v>1.6405289709021232E-4</v>
      </c>
      <c r="L183" s="14">
        <f t="shared" si="16"/>
        <v>1.8364130271292421E-4</v>
      </c>
      <c r="M183" s="16">
        <f t="shared" si="14"/>
        <v>3.476941998031365E-4</v>
      </c>
    </row>
    <row r="184" spans="1:13" x14ac:dyDescent="0.3">
      <c r="A184" t="s">
        <v>13</v>
      </c>
      <c r="B184" s="12">
        <v>2011</v>
      </c>
      <c r="C184" s="13">
        <v>2427292.7609999999</v>
      </c>
      <c r="D184">
        <v>400000.44200000004</v>
      </c>
      <c r="E184" s="12">
        <v>2827954</v>
      </c>
      <c r="F184" s="13">
        <v>457</v>
      </c>
      <c r="G184">
        <v>611</v>
      </c>
      <c r="H184" s="12">
        <v>1068</v>
      </c>
      <c r="I184" s="15">
        <f t="shared" si="12"/>
        <v>0.85832116116457335</v>
      </c>
      <c r="J184" s="15">
        <f t="shared" si="13"/>
        <v>0.14144517272911797</v>
      </c>
      <c r="K184" s="14">
        <f t="shared" si="15"/>
        <v>1.6160093127398818E-4</v>
      </c>
      <c r="L184" s="14">
        <f t="shared" si="16"/>
        <v>2.1605726260045247E-4</v>
      </c>
      <c r="M184" s="16">
        <f t="shared" si="14"/>
        <v>3.7765819387444065E-4</v>
      </c>
    </row>
    <row r="185" spans="1:13" x14ac:dyDescent="0.3">
      <c r="A185" t="s">
        <v>34</v>
      </c>
      <c r="B185" s="12">
        <v>2012</v>
      </c>
      <c r="C185" s="13">
        <v>2429112.7739999993</v>
      </c>
      <c r="D185">
        <v>358986.98299999995</v>
      </c>
      <c r="E185" s="12">
        <v>2787849</v>
      </c>
      <c r="F185" s="13">
        <v>438</v>
      </c>
      <c r="G185">
        <v>457</v>
      </c>
      <c r="H185" s="12">
        <v>895</v>
      </c>
      <c r="I185" s="15">
        <f t="shared" si="12"/>
        <v>0.87132150055472846</v>
      </c>
      <c r="J185" s="15">
        <f t="shared" si="13"/>
        <v>0.12876844585198122</v>
      </c>
      <c r="K185" s="14">
        <f t="shared" si="15"/>
        <v>1.5711037434236932E-4</v>
      </c>
      <c r="L185" s="14">
        <f t="shared" si="16"/>
        <v>1.63925664553568E-4</v>
      </c>
      <c r="M185" s="16">
        <f t="shared" si="14"/>
        <v>3.2103603889593733E-4</v>
      </c>
    </row>
    <row r="186" spans="1:13" x14ac:dyDescent="0.3">
      <c r="A186" t="s">
        <v>34</v>
      </c>
      <c r="B186" s="12">
        <v>2013</v>
      </c>
      <c r="C186" s="13">
        <v>2439437.4309999999</v>
      </c>
      <c r="D186">
        <v>368194.85700000008</v>
      </c>
      <c r="E186" s="12">
        <v>2808240</v>
      </c>
      <c r="F186" s="13">
        <v>440</v>
      </c>
      <c r="G186">
        <v>596</v>
      </c>
      <c r="H186" s="12">
        <v>1036</v>
      </c>
      <c r="I186" s="15">
        <f t="shared" si="12"/>
        <v>0.86867127845198411</v>
      </c>
      <c r="J186" s="15">
        <f t="shared" si="13"/>
        <v>0.13111231839159049</v>
      </c>
      <c r="K186" s="14">
        <f t="shared" si="15"/>
        <v>1.5668176509130274E-4</v>
      </c>
      <c r="L186" s="14">
        <f t="shared" si="16"/>
        <v>2.1223257271458279E-4</v>
      </c>
      <c r="M186" s="16">
        <f t="shared" si="14"/>
        <v>3.6891433780588556E-4</v>
      </c>
    </row>
    <row r="187" spans="1:13" x14ac:dyDescent="0.3">
      <c r="A187" t="s">
        <v>13</v>
      </c>
      <c r="B187" s="12">
        <v>2009</v>
      </c>
      <c r="C187" s="13">
        <v>2440671.4089999995</v>
      </c>
      <c r="D187">
        <v>399231.50799999997</v>
      </c>
      <c r="E187" s="12">
        <v>2838143</v>
      </c>
      <c r="F187" s="13">
        <v>453</v>
      </c>
      <c r="G187">
        <v>557</v>
      </c>
      <c r="H187" s="12">
        <v>1010</v>
      </c>
      <c r="I187" s="15">
        <f t="shared" si="12"/>
        <v>0.85995364187075829</v>
      </c>
      <c r="J187" s="15">
        <f t="shared" si="13"/>
        <v>0.14066645267697928</v>
      </c>
      <c r="K187" s="14">
        <f t="shared" si="15"/>
        <v>1.5961140788184387E-4</v>
      </c>
      <c r="L187" s="14">
        <f t="shared" si="16"/>
        <v>1.9625508651255417E-4</v>
      </c>
      <c r="M187" s="16">
        <f t="shared" si="14"/>
        <v>3.5586649439439802E-4</v>
      </c>
    </row>
    <row r="188" spans="1:13" x14ac:dyDescent="0.3">
      <c r="A188" t="s">
        <v>25</v>
      </c>
      <c r="B188" s="12">
        <v>2013</v>
      </c>
      <c r="C188" s="13">
        <v>2444125.426</v>
      </c>
      <c r="D188">
        <v>424006.62299999991</v>
      </c>
      <c r="E188" s="12">
        <v>2869003</v>
      </c>
      <c r="F188" s="13">
        <v>429</v>
      </c>
      <c r="G188">
        <v>688</v>
      </c>
      <c r="H188" s="12">
        <v>1117</v>
      </c>
      <c r="I188" s="15">
        <f t="shared" si="12"/>
        <v>0.851907588106391</v>
      </c>
      <c r="J188" s="15">
        <f t="shared" si="13"/>
        <v>0.14778883918908411</v>
      </c>
      <c r="K188" s="14">
        <f t="shared" si="15"/>
        <v>1.4952929641412016E-4</v>
      </c>
      <c r="L188" s="14">
        <f t="shared" si="16"/>
        <v>2.398045592841834E-4</v>
      </c>
      <c r="M188" s="16">
        <f t="shared" si="14"/>
        <v>3.8933385569830356E-4</v>
      </c>
    </row>
    <row r="189" spans="1:13" x14ac:dyDescent="0.3">
      <c r="A189" t="s">
        <v>13</v>
      </c>
      <c r="B189" s="12">
        <v>2010</v>
      </c>
      <c r="C189" s="13">
        <v>2447771.8589999997</v>
      </c>
      <c r="D189">
        <v>402670.83</v>
      </c>
      <c r="E189" s="12">
        <v>2850272</v>
      </c>
      <c r="F189" s="13">
        <v>417</v>
      </c>
      <c r="G189">
        <v>529</v>
      </c>
      <c r="H189" s="12">
        <v>946</v>
      </c>
      <c r="I189" s="15">
        <f t="shared" si="12"/>
        <v>0.85878535767814435</v>
      </c>
      <c r="J189" s="15">
        <f t="shared" si="13"/>
        <v>0.14127452748369279</v>
      </c>
      <c r="K189" s="14">
        <f t="shared" si="15"/>
        <v>1.4630182663268629E-4</v>
      </c>
      <c r="L189" s="14">
        <f t="shared" si="16"/>
        <v>1.8559632203523033E-4</v>
      </c>
      <c r="M189" s="16">
        <f t="shared" si="14"/>
        <v>3.3189814866791659E-4</v>
      </c>
    </row>
    <row r="190" spans="1:13" x14ac:dyDescent="0.3">
      <c r="A190" t="s">
        <v>34</v>
      </c>
      <c r="B190" s="12">
        <v>2010</v>
      </c>
      <c r="C190" s="13">
        <v>2469415.1429999992</v>
      </c>
      <c r="D190">
        <v>350795.66600000003</v>
      </c>
      <c r="E190" s="12">
        <v>2821136</v>
      </c>
      <c r="F190" s="13">
        <v>420</v>
      </c>
      <c r="G190">
        <v>438</v>
      </c>
      <c r="H190" s="12">
        <v>858</v>
      </c>
      <c r="I190" s="15">
        <f t="shared" si="12"/>
        <v>0.87532651492164826</v>
      </c>
      <c r="J190" s="15">
        <f t="shared" si="13"/>
        <v>0.12434553527373371</v>
      </c>
      <c r="K190" s="14">
        <f t="shared" si="15"/>
        <v>1.4887619738998759E-4</v>
      </c>
      <c r="L190" s="14">
        <f t="shared" si="16"/>
        <v>1.5525660584955847E-4</v>
      </c>
      <c r="M190" s="16">
        <f t="shared" si="14"/>
        <v>3.0413280323954604E-4</v>
      </c>
    </row>
    <row r="191" spans="1:13" x14ac:dyDescent="0.3">
      <c r="A191" t="s">
        <v>25</v>
      </c>
      <c r="B191" s="12">
        <v>2010</v>
      </c>
      <c r="C191" s="13">
        <v>2473183.4710000004</v>
      </c>
      <c r="D191">
        <v>426239.08</v>
      </c>
      <c r="E191" s="12">
        <v>2899335</v>
      </c>
      <c r="F191" s="13">
        <v>438</v>
      </c>
      <c r="G191">
        <v>506</v>
      </c>
      <c r="H191" s="12">
        <v>944</v>
      </c>
      <c r="I191" s="15">
        <f t="shared" si="12"/>
        <v>0.85301749228702461</v>
      </c>
      <c r="J191" s="15">
        <f t="shared" si="13"/>
        <v>0.14701270463744273</v>
      </c>
      <c r="K191" s="14">
        <f t="shared" si="15"/>
        <v>1.5106912447164608E-4</v>
      </c>
      <c r="L191" s="14">
        <f t="shared" si="16"/>
        <v>1.7452277849920757E-4</v>
      </c>
      <c r="M191" s="16">
        <f t="shared" si="14"/>
        <v>3.2559190297085365E-4</v>
      </c>
    </row>
    <row r="192" spans="1:13" x14ac:dyDescent="0.3">
      <c r="A192" t="s">
        <v>54</v>
      </c>
      <c r="B192" s="12">
        <v>2013</v>
      </c>
      <c r="C192" s="13">
        <v>2478902.7629999998</v>
      </c>
      <c r="D192">
        <v>269731.99099999998</v>
      </c>
      <c r="E192" s="12">
        <v>2748392</v>
      </c>
      <c r="F192" s="13">
        <v>403</v>
      </c>
      <c r="G192">
        <v>342</v>
      </c>
      <c r="H192" s="12">
        <v>745</v>
      </c>
      <c r="I192" s="15">
        <f t="shared" si="12"/>
        <v>0.90194657930891942</v>
      </c>
      <c r="J192" s="15">
        <f t="shared" si="13"/>
        <v>9.8141746519419343E-2</v>
      </c>
      <c r="K192" s="14">
        <f t="shared" si="15"/>
        <v>1.4663119380350402E-4</v>
      </c>
      <c r="L192" s="14">
        <f t="shared" si="16"/>
        <v>1.2443639771910267E-4</v>
      </c>
      <c r="M192" s="16">
        <f t="shared" si="14"/>
        <v>2.7106759152260667E-4</v>
      </c>
    </row>
    <row r="193" spans="1:13" x14ac:dyDescent="0.3">
      <c r="A193" t="s">
        <v>54</v>
      </c>
      <c r="B193" s="12">
        <v>2012</v>
      </c>
      <c r="C193" s="13">
        <v>2494608.1250000005</v>
      </c>
      <c r="D193">
        <v>249139.22499999998</v>
      </c>
      <c r="E193" s="12">
        <v>2745765</v>
      </c>
      <c r="F193" s="13">
        <v>380</v>
      </c>
      <c r="G193">
        <v>262</v>
      </c>
      <c r="H193" s="12">
        <v>642</v>
      </c>
      <c r="I193" s="15">
        <f t="shared" si="12"/>
        <v>0.9085293624909635</v>
      </c>
      <c r="J193" s="15">
        <f t="shared" si="13"/>
        <v>9.0735814973240597E-2</v>
      </c>
      <c r="K193" s="14">
        <f t="shared" si="15"/>
        <v>1.3839494639927307E-4</v>
      </c>
      <c r="L193" s="14">
        <f t="shared" si="16"/>
        <v>9.5419673570025116E-5</v>
      </c>
      <c r="M193" s="16">
        <f t="shared" si="14"/>
        <v>2.3381461996929817E-4</v>
      </c>
    </row>
    <row r="194" spans="1:13" x14ac:dyDescent="0.3">
      <c r="A194" t="s">
        <v>54</v>
      </c>
      <c r="B194" s="12">
        <v>2014</v>
      </c>
      <c r="C194" s="13">
        <v>2504764.3789999997</v>
      </c>
      <c r="D194">
        <v>266879.56599999999</v>
      </c>
      <c r="E194" s="12">
        <v>2773794</v>
      </c>
      <c r="F194" s="13">
        <v>501</v>
      </c>
      <c r="G194">
        <v>293</v>
      </c>
      <c r="H194" s="12">
        <v>794</v>
      </c>
      <c r="I194" s="15">
        <f t="shared" si="12"/>
        <v>0.90301023760235966</v>
      </c>
      <c r="J194" s="15">
        <f t="shared" si="13"/>
        <v>9.621463093510188E-2</v>
      </c>
      <c r="K194" s="14">
        <f t="shared" si="15"/>
        <v>1.8061903659752671E-4</v>
      </c>
      <c r="L194" s="14">
        <f t="shared" si="16"/>
        <v>1.056314924612282E-4</v>
      </c>
      <c r="M194" s="16">
        <f t="shared" si="14"/>
        <v>2.8625052905875491E-4</v>
      </c>
    </row>
    <row r="195" spans="1:13" x14ac:dyDescent="0.3">
      <c r="A195" t="s">
        <v>25</v>
      </c>
      <c r="B195" s="12">
        <v>2009</v>
      </c>
      <c r="C195" s="13">
        <v>2507248.5309999995</v>
      </c>
      <c r="D195">
        <v>431457.27399999992</v>
      </c>
      <c r="E195" s="12">
        <v>2939403</v>
      </c>
      <c r="F195" s="13">
        <v>491</v>
      </c>
      <c r="G195">
        <v>567</v>
      </c>
      <c r="H195" s="12">
        <v>1058</v>
      </c>
      <c r="I195" s="15">
        <f t="shared" ref="I195:I258" si="17">C195/E195</f>
        <v>0.85297882971474126</v>
      </c>
      <c r="J195" s="15">
        <f t="shared" ref="J195:J258" si="18">D195/E195</f>
        <v>0.14678398096484216</v>
      </c>
      <c r="K195" s="14">
        <f t="shared" si="15"/>
        <v>1.6704072221468102E-4</v>
      </c>
      <c r="L195" s="14">
        <f t="shared" si="16"/>
        <v>1.9289631261858276E-4</v>
      </c>
      <c r="M195" s="16">
        <f t="shared" ref="M195:M258" si="19">H195/E195</f>
        <v>3.5993703483326378E-4</v>
      </c>
    </row>
    <row r="196" spans="1:13" x14ac:dyDescent="0.3">
      <c r="A196" t="s">
        <v>25</v>
      </c>
      <c r="B196" s="12">
        <v>2012</v>
      </c>
      <c r="C196" s="13">
        <v>2521062.6969999992</v>
      </c>
      <c r="D196">
        <v>438910.20600000006</v>
      </c>
      <c r="E196" s="12">
        <v>2961052</v>
      </c>
      <c r="F196" s="13">
        <v>423</v>
      </c>
      <c r="G196">
        <v>586</v>
      </c>
      <c r="H196" s="12">
        <v>1009</v>
      </c>
      <c r="I196" s="15">
        <f t="shared" si="17"/>
        <v>0.85140777568242609</v>
      </c>
      <c r="J196" s="15">
        <f t="shared" si="18"/>
        <v>0.14822779404076661</v>
      </c>
      <c r="K196" s="14">
        <f t="shared" si="15"/>
        <v>1.4285463409626037E-4</v>
      </c>
      <c r="L196" s="14">
        <f t="shared" si="16"/>
        <v>1.9790263730593046E-4</v>
      </c>
      <c r="M196" s="16">
        <f t="shared" si="19"/>
        <v>3.4075727140219083E-4</v>
      </c>
    </row>
    <row r="197" spans="1:13" x14ac:dyDescent="0.3">
      <c r="A197" t="s">
        <v>54</v>
      </c>
      <c r="B197" s="12">
        <v>2015</v>
      </c>
      <c r="C197" s="13">
        <v>2554699.327</v>
      </c>
      <c r="D197">
        <v>278662.45999999996</v>
      </c>
      <c r="E197" s="12">
        <v>2832328</v>
      </c>
      <c r="F197" s="13">
        <v>461</v>
      </c>
      <c r="G197">
        <v>283</v>
      </c>
      <c r="H197" s="12">
        <v>744</v>
      </c>
      <c r="I197" s="15">
        <f t="shared" si="17"/>
        <v>0.90197862924068117</v>
      </c>
      <c r="J197" s="15">
        <f t="shared" si="18"/>
        <v>9.8386366268313541E-2</v>
      </c>
      <c r="K197" s="14">
        <f t="shared" si="15"/>
        <v>1.627636347202725E-4</v>
      </c>
      <c r="L197" s="14">
        <f t="shared" si="16"/>
        <v>9.991780612979852E-5</v>
      </c>
      <c r="M197" s="16">
        <f t="shared" si="19"/>
        <v>2.6268144085007104E-4</v>
      </c>
    </row>
    <row r="198" spans="1:13" x14ac:dyDescent="0.3">
      <c r="A198" t="s">
        <v>34</v>
      </c>
      <c r="B198" s="12">
        <v>2009</v>
      </c>
      <c r="C198" s="13">
        <v>2558343.4939999999</v>
      </c>
      <c r="D198">
        <v>365180.54400000005</v>
      </c>
      <c r="E198" s="12">
        <v>2922240</v>
      </c>
      <c r="F198" s="13">
        <v>383</v>
      </c>
      <c r="G198">
        <v>453</v>
      </c>
      <c r="H198" s="12">
        <v>836</v>
      </c>
      <c r="I198" s="15">
        <f t="shared" si="17"/>
        <v>0.875473436131187</v>
      </c>
      <c r="J198" s="15">
        <f t="shared" si="18"/>
        <v>0.1249659658344284</v>
      </c>
      <c r="K198" s="14">
        <f t="shared" si="15"/>
        <v>1.3106384143670609E-4</v>
      </c>
      <c r="L198" s="14">
        <f t="shared" si="16"/>
        <v>1.5501806833114322E-4</v>
      </c>
      <c r="M198" s="16">
        <f t="shared" si="19"/>
        <v>2.8608190976784931E-4</v>
      </c>
    </row>
    <row r="199" spans="1:13" x14ac:dyDescent="0.3">
      <c r="A199" t="s">
        <v>54</v>
      </c>
      <c r="B199" s="12">
        <v>2017</v>
      </c>
      <c r="C199" s="13">
        <v>2581721</v>
      </c>
      <c r="D199">
        <v>302014</v>
      </c>
      <c r="E199" s="12">
        <v>2883735</v>
      </c>
      <c r="F199" s="13">
        <v>430</v>
      </c>
      <c r="G199">
        <v>244</v>
      </c>
      <c r="H199" s="12">
        <v>674</v>
      </c>
      <c r="I199" s="15">
        <f t="shared" si="17"/>
        <v>0.89526984969145917</v>
      </c>
      <c r="J199" s="15">
        <f t="shared" si="18"/>
        <v>0.10473015030854084</v>
      </c>
      <c r="K199" s="14">
        <f t="shared" ref="K199:K262" si="20">F199/E199</f>
        <v>1.4911217570269113E-4</v>
      </c>
      <c r="L199" s="14">
        <f t="shared" si="16"/>
        <v>8.4612490398736358E-5</v>
      </c>
      <c r="M199" s="16">
        <f t="shared" si="19"/>
        <v>2.337246661014275E-4</v>
      </c>
    </row>
    <row r="200" spans="1:13" x14ac:dyDescent="0.3">
      <c r="A200" t="s">
        <v>54</v>
      </c>
      <c r="B200" s="12">
        <v>2016</v>
      </c>
      <c r="C200" s="13">
        <v>2586102.5209999997</v>
      </c>
      <c r="D200">
        <v>290351.79400000005</v>
      </c>
      <c r="E200" s="12">
        <v>2875876</v>
      </c>
      <c r="F200" s="13">
        <v>407</v>
      </c>
      <c r="G200">
        <v>277</v>
      </c>
      <c r="H200" s="12">
        <v>684</v>
      </c>
      <c r="I200" s="15">
        <f t="shared" si="17"/>
        <v>0.89923992585215762</v>
      </c>
      <c r="J200" s="15">
        <f t="shared" si="18"/>
        <v>0.10096116591953201</v>
      </c>
      <c r="K200" s="14">
        <f t="shared" si="20"/>
        <v>1.4152209622389839E-4</v>
      </c>
      <c r="L200" s="14">
        <f t="shared" ref="L200:L263" si="21">G200/E200</f>
        <v>9.6318478265405044E-5</v>
      </c>
      <c r="M200" s="16">
        <f t="shared" si="19"/>
        <v>2.3784057448930345E-4</v>
      </c>
    </row>
    <row r="201" spans="1:13" x14ac:dyDescent="0.3">
      <c r="A201" t="s">
        <v>16</v>
      </c>
      <c r="B201" s="12">
        <v>2009</v>
      </c>
      <c r="C201" s="13">
        <v>3018554.7050000001</v>
      </c>
      <c r="D201">
        <v>476175.16600000003</v>
      </c>
      <c r="E201" s="12">
        <v>3494487</v>
      </c>
      <c r="F201" s="13">
        <v>454</v>
      </c>
      <c r="G201">
        <v>615</v>
      </c>
      <c r="H201" s="12">
        <v>1069</v>
      </c>
      <c r="I201" s="15">
        <f t="shared" si="17"/>
        <v>0.86380481741669091</v>
      </c>
      <c r="J201" s="15">
        <f t="shared" si="18"/>
        <v>0.13626468377189557</v>
      </c>
      <c r="K201" s="14">
        <f t="shared" si="20"/>
        <v>1.2991892658350139E-4</v>
      </c>
      <c r="L201" s="14">
        <f t="shared" si="21"/>
        <v>1.7599149746443471E-4</v>
      </c>
      <c r="M201" s="16">
        <f t="shared" si="19"/>
        <v>3.0591042404793609E-4</v>
      </c>
    </row>
    <row r="202" spans="1:13" x14ac:dyDescent="0.3">
      <c r="A202" t="s">
        <v>16</v>
      </c>
      <c r="B202" s="12">
        <v>2017</v>
      </c>
      <c r="C202" s="13">
        <v>3018721</v>
      </c>
      <c r="D202">
        <v>575757</v>
      </c>
      <c r="E202" s="12">
        <v>3594478</v>
      </c>
      <c r="F202" s="13">
        <v>411</v>
      </c>
      <c r="G202">
        <v>584</v>
      </c>
      <c r="H202" s="12">
        <v>995</v>
      </c>
      <c r="I202" s="15">
        <f t="shared" si="17"/>
        <v>0.83982180444559684</v>
      </c>
      <c r="J202" s="15">
        <f t="shared" si="18"/>
        <v>0.16017819555440316</v>
      </c>
      <c r="K202" s="14">
        <f t="shared" si="20"/>
        <v>1.1434205467386363E-4</v>
      </c>
      <c r="L202" s="14">
        <f t="shared" si="21"/>
        <v>1.6247143535166997E-4</v>
      </c>
      <c r="M202" s="16">
        <f t="shared" si="19"/>
        <v>2.768134900255336E-4</v>
      </c>
    </row>
    <row r="203" spans="1:13" x14ac:dyDescent="0.3">
      <c r="A203" t="s">
        <v>16</v>
      </c>
      <c r="B203" s="12">
        <v>2016</v>
      </c>
      <c r="C203" s="13">
        <v>3037097.79</v>
      </c>
      <c r="D203">
        <v>553638.56299999997</v>
      </c>
      <c r="E203" s="12">
        <v>3588570</v>
      </c>
      <c r="F203" s="13">
        <v>461</v>
      </c>
      <c r="G203">
        <v>470</v>
      </c>
      <c r="H203" s="12">
        <v>931</v>
      </c>
      <c r="I203" s="15">
        <f t="shared" si="17"/>
        <v>0.84632535801168707</v>
      </c>
      <c r="J203" s="15">
        <f t="shared" si="18"/>
        <v>0.15427832339901409</v>
      </c>
      <c r="K203" s="14">
        <f t="shared" si="20"/>
        <v>1.284634269360776E-4</v>
      </c>
      <c r="L203" s="14">
        <f t="shared" si="21"/>
        <v>1.3097138971790992E-4</v>
      </c>
      <c r="M203" s="16">
        <f t="shared" si="19"/>
        <v>2.594348166539875E-4</v>
      </c>
    </row>
    <row r="204" spans="1:13" x14ac:dyDescent="0.3">
      <c r="A204" t="s">
        <v>46</v>
      </c>
      <c r="B204" s="12">
        <v>2017</v>
      </c>
      <c r="C204" s="13">
        <v>3044402</v>
      </c>
      <c r="D204">
        <v>515566</v>
      </c>
      <c r="E204" s="12">
        <v>3559968</v>
      </c>
      <c r="F204" s="13">
        <v>452</v>
      </c>
      <c r="G204">
        <v>477</v>
      </c>
      <c r="H204" s="12">
        <v>929</v>
      </c>
      <c r="I204" s="15">
        <f t="shared" si="17"/>
        <v>0.85517678810596054</v>
      </c>
      <c r="J204" s="15">
        <f t="shared" si="18"/>
        <v>0.14482321189403949</v>
      </c>
      <c r="K204" s="14">
        <f t="shared" si="20"/>
        <v>1.2696743341513182E-4</v>
      </c>
      <c r="L204" s="14">
        <f t="shared" si="21"/>
        <v>1.339899684491546E-4</v>
      </c>
      <c r="M204" s="16">
        <f t="shared" si="19"/>
        <v>2.609574018642864E-4</v>
      </c>
    </row>
    <row r="205" spans="1:13" x14ac:dyDescent="0.3">
      <c r="A205" t="s">
        <v>46</v>
      </c>
      <c r="B205" s="12">
        <v>2011</v>
      </c>
      <c r="C205" s="13">
        <v>3047237.969</v>
      </c>
      <c r="D205">
        <v>466927.03799999994</v>
      </c>
      <c r="E205" s="12">
        <v>3516036</v>
      </c>
      <c r="F205" s="13">
        <v>461</v>
      </c>
      <c r="G205">
        <v>674</v>
      </c>
      <c r="H205" s="12">
        <v>1135</v>
      </c>
      <c r="I205" s="15">
        <f t="shared" si="17"/>
        <v>0.86666859184604483</v>
      </c>
      <c r="J205" s="15">
        <f t="shared" si="18"/>
        <v>0.13279927679921363</v>
      </c>
      <c r="K205" s="14">
        <f t="shared" si="20"/>
        <v>1.3111356083953636E-4</v>
      </c>
      <c r="L205" s="14">
        <f t="shared" si="21"/>
        <v>1.9169314534890996E-4</v>
      </c>
      <c r="M205" s="16">
        <f t="shared" si="19"/>
        <v>3.2280670618844629E-4</v>
      </c>
    </row>
    <row r="206" spans="1:13" x14ac:dyDescent="0.3">
      <c r="A206" t="s">
        <v>46</v>
      </c>
      <c r="B206" s="12">
        <v>2016</v>
      </c>
      <c r="C206" s="13">
        <v>3048059.5120000001</v>
      </c>
      <c r="D206">
        <v>509614.00200000009</v>
      </c>
      <c r="E206" s="12">
        <v>3556746</v>
      </c>
      <c r="F206" s="13">
        <v>430</v>
      </c>
      <c r="G206">
        <v>420</v>
      </c>
      <c r="H206" s="12">
        <v>850</v>
      </c>
      <c r="I206" s="15">
        <f t="shared" si="17"/>
        <v>0.8569798101972983</v>
      </c>
      <c r="J206" s="15">
        <f t="shared" si="18"/>
        <v>0.14328096580413674</v>
      </c>
      <c r="K206" s="14">
        <f t="shared" si="20"/>
        <v>1.2089702216576612E-4</v>
      </c>
      <c r="L206" s="14">
        <f t="shared" si="21"/>
        <v>1.180854635107483E-4</v>
      </c>
      <c r="M206" s="16">
        <f t="shared" si="19"/>
        <v>2.3898248567651444E-4</v>
      </c>
    </row>
    <row r="207" spans="1:13" x14ac:dyDescent="0.3">
      <c r="A207" t="s">
        <v>16</v>
      </c>
      <c r="B207" s="12">
        <v>2015</v>
      </c>
      <c r="C207" s="13">
        <v>3052999.2419999996</v>
      </c>
      <c r="D207">
        <v>542415.62</v>
      </c>
      <c r="E207" s="12">
        <v>3593222</v>
      </c>
      <c r="F207" s="13">
        <v>429</v>
      </c>
      <c r="G207">
        <v>605</v>
      </c>
      <c r="H207" s="12">
        <v>1034</v>
      </c>
      <c r="I207" s="15">
        <f t="shared" si="17"/>
        <v>0.84965505665945484</v>
      </c>
      <c r="J207" s="15">
        <f t="shared" si="18"/>
        <v>0.15095522069051118</v>
      </c>
      <c r="K207" s="14">
        <f t="shared" si="20"/>
        <v>1.1939145424357304E-4</v>
      </c>
      <c r="L207" s="14">
        <f t="shared" si="21"/>
        <v>1.6837256367683377E-4</v>
      </c>
      <c r="M207" s="16">
        <f t="shared" si="19"/>
        <v>2.8776401792040684E-4</v>
      </c>
    </row>
    <row r="208" spans="1:13" x14ac:dyDescent="0.3">
      <c r="A208" t="s">
        <v>16</v>
      </c>
      <c r="B208" s="12">
        <v>2010</v>
      </c>
      <c r="C208" s="13">
        <v>3055024.8389999997</v>
      </c>
      <c r="D208">
        <v>491649.24900000007</v>
      </c>
      <c r="E208" s="12">
        <v>3545837</v>
      </c>
      <c r="F208" s="13">
        <v>429</v>
      </c>
      <c r="G208">
        <v>525</v>
      </c>
      <c r="H208" s="12">
        <v>954</v>
      </c>
      <c r="I208" s="15">
        <f t="shared" si="17"/>
        <v>0.86158073227844367</v>
      </c>
      <c r="J208" s="15">
        <f t="shared" si="18"/>
        <v>0.13865534399917426</v>
      </c>
      <c r="K208" s="14">
        <f t="shared" si="20"/>
        <v>1.2098694892066387E-4</v>
      </c>
      <c r="L208" s="14">
        <f t="shared" si="21"/>
        <v>1.4806095147633689E-4</v>
      </c>
      <c r="M208" s="16">
        <f t="shared" si="19"/>
        <v>2.6904790039700079E-4</v>
      </c>
    </row>
    <row r="209" spans="1:13" x14ac:dyDescent="0.3">
      <c r="A209" t="s">
        <v>16</v>
      </c>
      <c r="B209" s="12">
        <v>2011</v>
      </c>
      <c r="C209" s="13">
        <v>3055379.196</v>
      </c>
      <c r="D209">
        <v>499633.78200000001</v>
      </c>
      <c r="E209" s="12">
        <v>3558172</v>
      </c>
      <c r="F209" s="13">
        <v>418</v>
      </c>
      <c r="G209">
        <v>586</v>
      </c>
      <c r="H209" s="12">
        <v>1004</v>
      </c>
      <c r="I209" s="15">
        <f t="shared" si="17"/>
        <v>0.85869350778995501</v>
      </c>
      <c r="J209" s="15">
        <f t="shared" si="18"/>
        <v>0.14041867059827351</v>
      </c>
      <c r="K209" s="14">
        <f t="shared" si="20"/>
        <v>1.1747605231000637E-4</v>
      </c>
      <c r="L209" s="14">
        <f t="shared" si="21"/>
        <v>1.6469130778388455E-4</v>
      </c>
      <c r="M209" s="16">
        <f t="shared" si="19"/>
        <v>2.821673600938909E-4</v>
      </c>
    </row>
    <row r="210" spans="1:13" x14ac:dyDescent="0.3">
      <c r="A210" t="s">
        <v>16</v>
      </c>
      <c r="B210" s="12">
        <v>2012</v>
      </c>
      <c r="C210" s="13">
        <v>3056953.7100000004</v>
      </c>
      <c r="D210">
        <v>510276.24400000001</v>
      </c>
      <c r="E210" s="12">
        <v>3572213</v>
      </c>
      <c r="F210" s="13">
        <v>430</v>
      </c>
      <c r="G210">
        <v>494</v>
      </c>
      <c r="H210" s="12">
        <v>924</v>
      </c>
      <c r="I210" s="15">
        <f t="shared" si="17"/>
        <v>0.85575907987569622</v>
      </c>
      <c r="J210" s="15">
        <f t="shared" si="18"/>
        <v>0.14284597363035184</v>
      </c>
      <c r="K210" s="14">
        <f t="shared" si="20"/>
        <v>1.2037356115102878E-4</v>
      </c>
      <c r="L210" s="14">
        <f t="shared" si="21"/>
        <v>1.3828962606653075E-4</v>
      </c>
      <c r="M210" s="16">
        <f t="shared" si="19"/>
        <v>2.5866318721755956E-4</v>
      </c>
    </row>
    <row r="211" spans="1:13" x14ac:dyDescent="0.3">
      <c r="A211" t="s">
        <v>16</v>
      </c>
      <c r="B211" s="12">
        <v>2013</v>
      </c>
      <c r="C211" s="13">
        <v>3060943.5240000002</v>
      </c>
      <c r="D211">
        <v>519807.239</v>
      </c>
      <c r="E211" s="12">
        <v>3583561</v>
      </c>
      <c r="F211" s="13">
        <v>452</v>
      </c>
      <c r="G211">
        <v>534</v>
      </c>
      <c r="H211" s="12">
        <v>986</v>
      </c>
      <c r="I211" s="15">
        <f t="shared" si="17"/>
        <v>0.85416252827843597</v>
      </c>
      <c r="J211" s="15">
        <f t="shared" si="18"/>
        <v>0.14505326935972346</v>
      </c>
      <c r="K211" s="14">
        <f t="shared" si="20"/>
        <v>1.2613152113219225E-4</v>
      </c>
      <c r="L211" s="14">
        <f t="shared" si="21"/>
        <v>1.4901378824024484E-4</v>
      </c>
      <c r="M211" s="16">
        <f t="shared" si="19"/>
        <v>2.7514530937243709E-4</v>
      </c>
    </row>
    <row r="212" spans="1:13" x14ac:dyDescent="0.3">
      <c r="A212" t="s">
        <v>16</v>
      </c>
      <c r="B212" s="12">
        <v>2014</v>
      </c>
      <c r="C212" s="13">
        <v>3064320.0740000005</v>
      </c>
      <c r="D212">
        <v>531465.28399999999</v>
      </c>
      <c r="E212" s="12">
        <v>3592053</v>
      </c>
      <c r="F212" s="13">
        <v>417</v>
      </c>
      <c r="G212">
        <v>558</v>
      </c>
      <c r="H212" s="12">
        <v>975</v>
      </c>
      <c r="I212" s="15">
        <f t="shared" si="17"/>
        <v>0.85308320172336005</v>
      </c>
      <c r="J212" s="15">
        <f t="shared" si="18"/>
        <v>0.14795585811233855</v>
      </c>
      <c r="K212" s="14">
        <f t="shared" si="20"/>
        <v>1.1608960112782301E-4</v>
      </c>
      <c r="L212" s="14">
        <f t="shared" si="21"/>
        <v>1.5534291949478475E-4</v>
      </c>
      <c r="M212" s="16">
        <f t="shared" si="19"/>
        <v>2.7143252062260774E-4</v>
      </c>
    </row>
    <row r="213" spans="1:13" x14ac:dyDescent="0.3">
      <c r="A213" t="s">
        <v>46</v>
      </c>
      <c r="B213" s="12">
        <v>2014</v>
      </c>
      <c r="C213" s="13">
        <v>3089818.9859999996</v>
      </c>
      <c r="D213">
        <v>495346.16200000001</v>
      </c>
      <c r="E213" s="12">
        <v>3585650</v>
      </c>
      <c r="F213" s="13">
        <v>495</v>
      </c>
      <c r="G213">
        <v>520</v>
      </c>
      <c r="H213" s="12">
        <v>1015</v>
      </c>
      <c r="I213" s="15">
        <f t="shared" si="17"/>
        <v>0.8617179551824633</v>
      </c>
      <c r="J213" s="15">
        <f t="shared" si="18"/>
        <v>0.13814682470402856</v>
      </c>
      <c r="K213" s="14">
        <f t="shared" si="20"/>
        <v>1.3805028377002776E-4</v>
      </c>
      <c r="L213" s="14">
        <f t="shared" si="21"/>
        <v>1.4502252032406955E-4</v>
      </c>
      <c r="M213" s="16">
        <f t="shared" si="19"/>
        <v>2.8307280409409729E-4</v>
      </c>
    </row>
    <row r="214" spans="1:13" x14ac:dyDescent="0.3">
      <c r="A214" t="s">
        <v>46</v>
      </c>
      <c r="B214" s="12">
        <v>2009</v>
      </c>
      <c r="C214" s="13">
        <v>3108400.4569999999</v>
      </c>
      <c r="D214">
        <v>477591.51600000006</v>
      </c>
      <c r="E214" s="12">
        <v>3585543</v>
      </c>
      <c r="F214" s="13">
        <v>435</v>
      </c>
      <c r="G214">
        <v>653</v>
      </c>
      <c r="H214" s="12">
        <v>1088</v>
      </c>
      <c r="I214" s="15">
        <f t="shared" si="17"/>
        <v>0.86692600172414613</v>
      </c>
      <c r="J214" s="15">
        <f t="shared" si="18"/>
        <v>0.13319921585098829</v>
      </c>
      <c r="K214" s="14">
        <f t="shared" si="20"/>
        <v>1.2132053638737563E-4</v>
      </c>
      <c r="L214" s="14">
        <f t="shared" si="21"/>
        <v>1.8212025347346273E-4</v>
      </c>
      <c r="M214" s="16">
        <f t="shared" si="19"/>
        <v>3.0344078986083839E-4</v>
      </c>
    </row>
    <row r="215" spans="1:13" x14ac:dyDescent="0.3">
      <c r="A215" t="s">
        <v>46</v>
      </c>
      <c r="B215" s="12">
        <v>2015</v>
      </c>
      <c r="C215" s="13">
        <v>3130810.4130000002</v>
      </c>
      <c r="D215">
        <v>521068.37500000006</v>
      </c>
      <c r="E215" s="12">
        <v>3652845</v>
      </c>
      <c r="F215" s="13">
        <v>417</v>
      </c>
      <c r="G215">
        <v>581</v>
      </c>
      <c r="H215" s="12">
        <v>998</v>
      </c>
      <c r="I215" s="15">
        <f t="shared" si="17"/>
        <v>0.85708821836130478</v>
      </c>
      <c r="J215" s="15">
        <f t="shared" si="18"/>
        <v>0.14264727219468662</v>
      </c>
      <c r="K215" s="14">
        <f t="shared" si="20"/>
        <v>1.141575949704956E-4</v>
      </c>
      <c r="L215" s="14">
        <f t="shared" si="21"/>
        <v>1.5905410714114616E-4</v>
      </c>
      <c r="M215" s="16">
        <f t="shared" si="19"/>
        <v>2.7321170211164176E-4</v>
      </c>
    </row>
    <row r="216" spans="1:13" x14ac:dyDescent="0.3">
      <c r="A216" t="s">
        <v>46</v>
      </c>
      <c r="B216" s="12">
        <v>2010</v>
      </c>
      <c r="C216" s="13">
        <v>3134755.8170000003</v>
      </c>
      <c r="D216">
        <v>479441.92400000006</v>
      </c>
      <c r="E216" s="12">
        <v>3615270</v>
      </c>
      <c r="F216" s="13">
        <v>425</v>
      </c>
      <c r="G216">
        <v>618</v>
      </c>
      <c r="H216" s="12">
        <v>1043</v>
      </c>
      <c r="I216" s="15">
        <f t="shared" si="17"/>
        <v>0.86708760811778929</v>
      </c>
      <c r="J216" s="15">
        <f t="shared" si="18"/>
        <v>0.13261580020302774</v>
      </c>
      <c r="K216" s="14">
        <f t="shared" si="20"/>
        <v>1.1755691829379272E-4</v>
      </c>
      <c r="L216" s="14">
        <f t="shared" si="21"/>
        <v>1.7094158942485623E-4</v>
      </c>
      <c r="M216" s="16">
        <f t="shared" si="19"/>
        <v>2.8849850771864896E-4</v>
      </c>
    </row>
    <row r="217" spans="1:13" x14ac:dyDescent="0.3">
      <c r="A217" t="s">
        <v>46</v>
      </c>
      <c r="B217" s="12">
        <v>2013</v>
      </c>
      <c r="C217" s="13">
        <v>3150660.4709999999</v>
      </c>
      <c r="D217">
        <v>501812.96100000001</v>
      </c>
      <c r="E217" s="12">
        <v>3650821</v>
      </c>
      <c r="F217" s="13">
        <v>454</v>
      </c>
      <c r="G217">
        <v>560</v>
      </c>
      <c r="H217" s="12">
        <v>1014</v>
      </c>
      <c r="I217" s="15">
        <f t="shared" si="17"/>
        <v>0.86300053357861151</v>
      </c>
      <c r="J217" s="15">
        <f t="shared" si="18"/>
        <v>0.13745208570894055</v>
      </c>
      <c r="K217" s="14">
        <f t="shared" si="20"/>
        <v>1.2435559015355725E-4</v>
      </c>
      <c r="L217" s="14">
        <f t="shared" si="21"/>
        <v>1.533901552554891E-4</v>
      </c>
      <c r="M217" s="16">
        <f t="shared" si="19"/>
        <v>2.7774574540904637E-4</v>
      </c>
    </row>
    <row r="218" spans="1:13" x14ac:dyDescent="0.3">
      <c r="A218" t="s">
        <v>47</v>
      </c>
      <c r="B218" s="12">
        <v>2012</v>
      </c>
      <c r="C218" s="13">
        <v>3179843.6870000008</v>
      </c>
      <c r="D218">
        <v>505093.72</v>
      </c>
      <c r="E218" s="12">
        <v>3685999</v>
      </c>
      <c r="F218" s="13">
        <v>391</v>
      </c>
      <c r="G218">
        <v>323</v>
      </c>
      <c r="H218" s="12">
        <v>714</v>
      </c>
      <c r="I218" s="15">
        <f t="shared" si="17"/>
        <v>0.86268164668520009</v>
      </c>
      <c r="J218" s="15">
        <f t="shared" si="18"/>
        <v>0.13703034645424483</v>
      </c>
      <c r="K218" s="14">
        <f t="shared" si="20"/>
        <v>1.0607707706920159E-4</v>
      </c>
      <c r="L218" s="14">
        <f t="shared" si="21"/>
        <v>8.7628889752818713E-5</v>
      </c>
      <c r="M218" s="16">
        <f t="shared" si="19"/>
        <v>1.937059668220203E-4</v>
      </c>
    </row>
    <row r="219" spans="1:13" x14ac:dyDescent="0.3">
      <c r="A219" t="s">
        <v>46</v>
      </c>
      <c r="B219" s="12">
        <v>2012</v>
      </c>
      <c r="C219" s="13">
        <v>3197950.7330000005</v>
      </c>
      <c r="D219">
        <v>501376.08300000004</v>
      </c>
      <c r="E219" s="12">
        <v>3700163</v>
      </c>
      <c r="F219" s="13">
        <v>459</v>
      </c>
      <c r="G219">
        <v>425</v>
      </c>
      <c r="H219" s="12">
        <v>884</v>
      </c>
      <c r="I219" s="15">
        <f t="shared" si="17"/>
        <v>0.86427293419235873</v>
      </c>
      <c r="J219" s="15">
        <f t="shared" si="18"/>
        <v>0.13550108008755291</v>
      </c>
      <c r="K219" s="14">
        <f t="shared" si="20"/>
        <v>1.2404858921079962E-4</v>
      </c>
      <c r="L219" s="14">
        <f t="shared" si="21"/>
        <v>1.1485980482481448E-4</v>
      </c>
      <c r="M219" s="16">
        <f t="shared" si="19"/>
        <v>2.3890839403561411E-4</v>
      </c>
    </row>
    <row r="220" spans="1:13" x14ac:dyDescent="0.3">
      <c r="A220" t="s">
        <v>47</v>
      </c>
      <c r="B220" s="12">
        <v>2015</v>
      </c>
      <c r="C220" s="13">
        <v>3204556.048</v>
      </c>
      <c r="D220">
        <v>571821.23199999996</v>
      </c>
      <c r="E220" s="12">
        <v>3777756</v>
      </c>
      <c r="F220" s="13">
        <v>423</v>
      </c>
      <c r="G220">
        <v>384</v>
      </c>
      <c r="H220" s="12">
        <v>807</v>
      </c>
      <c r="I220" s="15">
        <f t="shared" si="17"/>
        <v>0.8482697262607749</v>
      </c>
      <c r="J220" s="15">
        <f t="shared" si="18"/>
        <v>0.15136531634123537</v>
      </c>
      <c r="K220" s="14">
        <f t="shared" si="20"/>
        <v>1.1197123371652378E-4</v>
      </c>
      <c r="L220" s="14">
        <f t="shared" si="21"/>
        <v>1.0164764479230527E-4</v>
      </c>
      <c r="M220" s="16">
        <f t="shared" si="19"/>
        <v>2.1361887850882905E-4</v>
      </c>
    </row>
    <row r="221" spans="1:13" x14ac:dyDescent="0.3">
      <c r="A221" t="s">
        <v>47</v>
      </c>
      <c r="B221" s="12">
        <v>2009</v>
      </c>
      <c r="C221" s="13">
        <v>3208064.3900000006</v>
      </c>
      <c r="D221">
        <v>488309.08600000007</v>
      </c>
      <c r="E221" s="12">
        <v>3694697</v>
      </c>
      <c r="F221" s="13">
        <v>433</v>
      </c>
      <c r="G221">
        <v>398</v>
      </c>
      <c r="H221" s="12">
        <v>831</v>
      </c>
      <c r="I221" s="15">
        <f t="shared" si="17"/>
        <v>0.86828889892730055</v>
      </c>
      <c r="J221" s="15">
        <f t="shared" si="18"/>
        <v>0.13216485303124995</v>
      </c>
      <c r="K221" s="14">
        <f t="shared" si="20"/>
        <v>1.1719499596313311E-4</v>
      </c>
      <c r="L221" s="14">
        <f t="shared" si="21"/>
        <v>1.0772195933793759E-4</v>
      </c>
      <c r="M221" s="16">
        <f t="shared" si="19"/>
        <v>2.249169553010707E-4</v>
      </c>
    </row>
    <row r="222" spans="1:13" x14ac:dyDescent="0.3">
      <c r="A222" t="s">
        <v>47</v>
      </c>
      <c r="B222" s="12">
        <v>2013</v>
      </c>
      <c r="C222" s="13">
        <v>3227889.25</v>
      </c>
      <c r="D222">
        <v>538868.74899999995</v>
      </c>
      <c r="E222" s="12">
        <v>3766403</v>
      </c>
      <c r="F222" s="13">
        <v>428</v>
      </c>
      <c r="G222">
        <v>396</v>
      </c>
      <c r="H222" s="12">
        <v>824</v>
      </c>
      <c r="I222" s="15">
        <f t="shared" si="17"/>
        <v>0.85702173930936232</v>
      </c>
      <c r="J222" s="15">
        <f t="shared" si="18"/>
        <v>0.14307251481055</v>
      </c>
      <c r="K222" s="14">
        <f t="shared" si="20"/>
        <v>1.1363627312318942E-4</v>
      </c>
      <c r="L222" s="14">
        <f t="shared" si="21"/>
        <v>1.0514010317005376E-4</v>
      </c>
      <c r="M222" s="16">
        <f t="shared" si="19"/>
        <v>2.1877637629324318E-4</v>
      </c>
    </row>
    <row r="223" spans="1:13" x14ac:dyDescent="0.3">
      <c r="A223" t="s">
        <v>47</v>
      </c>
      <c r="B223" s="12">
        <v>2011</v>
      </c>
      <c r="C223" s="13">
        <v>3236118.3789999997</v>
      </c>
      <c r="D223">
        <v>509652.783</v>
      </c>
      <c r="E223" s="12">
        <v>3745417</v>
      </c>
      <c r="F223" s="13">
        <v>408</v>
      </c>
      <c r="G223">
        <v>343</v>
      </c>
      <c r="H223" s="12">
        <v>751</v>
      </c>
      <c r="I223" s="15">
        <f t="shared" si="17"/>
        <v>0.86402084974783844</v>
      </c>
      <c r="J223" s="15">
        <f t="shared" si="18"/>
        <v>0.13607370901557825</v>
      </c>
      <c r="K223" s="14">
        <f t="shared" si="20"/>
        <v>1.0893313081026759E-4</v>
      </c>
      <c r="L223" s="14">
        <f t="shared" si="21"/>
        <v>9.1578587911572991E-5</v>
      </c>
      <c r="M223" s="16">
        <f t="shared" si="19"/>
        <v>2.0051171872184059E-4</v>
      </c>
    </row>
    <row r="224" spans="1:13" x14ac:dyDescent="0.3">
      <c r="A224" t="s">
        <v>47</v>
      </c>
      <c r="B224" s="12">
        <v>2014</v>
      </c>
      <c r="C224" s="13">
        <v>3237328.1070000003</v>
      </c>
      <c r="D224">
        <v>556875.46600000001</v>
      </c>
      <c r="E224" s="12">
        <v>3794733</v>
      </c>
      <c r="F224" s="13">
        <v>451</v>
      </c>
      <c r="G224">
        <v>318</v>
      </c>
      <c r="H224" s="12">
        <v>769</v>
      </c>
      <c r="I224" s="15">
        <f t="shared" si="17"/>
        <v>0.853110905826576</v>
      </c>
      <c r="J224" s="15">
        <f t="shared" si="18"/>
        <v>0.14674957790179177</v>
      </c>
      <c r="K224" s="14">
        <f t="shared" si="20"/>
        <v>1.1884894141432349E-4</v>
      </c>
      <c r="L224" s="14">
        <f t="shared" si="21"/>
        <v>8.3800362238924326E-5</v>
      </c>
      <c r="M224" s="16">
        <f t="shared" si="19"/>
        <v>2.0264930365324781E-4</v>
      </c>
    </row>
    <row r="225" spans="1:13" x14ac:dyDescent="0.3">
      <c r="A225" t="s">
        <v>47</v>
      </c>
      <c r="B225" s="12">
        <v>2010</v>
      </c>
      <c r="C225" s="13">
        <v>3249818.2889999999</v>
      </c>
      <c r="D225">
        <v>507224.36000000004</v>
      </c>
      <c r="E225" s="12">
        <v>3754561</v>
      </c>
      <c r="F225" s="13">
        <v>439</v>
      </c>
      <c r="G225">
        <v>350</v>
      </c>
      <c r="H225" s="12">
        <v>789</v>
      </c>
      <c r="I225" s="15">
        <f t="shared" si="17"/>
        <v>0.86556545199292267</v>
      </c>
      <c r="J225" s="15">
        <f t="shared" si="18"/>
        <v>0.13509551715899676</v>
      </c>
      <c r="K225" s="14">
        <f t="shared" si="20"/>
        <v>1.1692445534910739E-4</v>
      </c>
      <c r="L225" s="14">
        <f t="shared" si="21"/>
        <v>9.3219953011816831E-5</v>
      </c>
      <c r="M225" s="16">
        <f t="shared" si="19"/>
        <v>2.1014440836092423E-4</v>
      </c>
    </row>
    <row r="226" spans="1:13" x14ac:dyDescent="0.3">
      <c r="A226" t="s">
        <v>47</v>
      </c>
      <c r="B226" s="12">
        <v>2017</v>
      </c>
      <c r="C226" s="13">
        <v>3286262</v>
      </c>
      <c r="D226">
        <v>630248</v>
      </c>
      <c r="E226" s="12">
        <v>3916510</v>
      </c>
      <c r="F226" s="13">
        <v>430</v>
      </c>
      <c r="G226">
        <v>466</v>
      </c>
      <c r="H226" s="12">
        <v>896</v>
      </c>
      <c r="I226" s="15">
        <f t="shared" si="17"/>
        <v>0.83907918018848415</v>
      </c>
      <c r="J226" s="15">
        <f t="shared" si="18"/>
        <v>0.16092081981151587</v>
      </c>
      <c r="K226" s="14">
        <f t="shared" si="20"/>
        <v>1.097916257075815E-4</v>
      </c>
      <c r="L226" s="14">
        <f t="shared" si="21"/>
        <v>1.1898348274356506E-4</v>
      </c>
      <c r="M226" s="16">
        <f t="shared" si="19"/>
        <v>2.2877510845114655E-4</v>
      </c>
    </row>
    <row r="227" spans="1:13" x14ac:dyDescent="0.3">
      <c r="A227" t="s">
        <v>27</v>
      </c>
      <c r="B227" s="12">
        <v>2017</v>
      </c>
      <c r="C227" s="13">
        <v>3297832</v>
      </c>
      <c r="D227">
        <v>589340</v>
      </c>
      <c r="E227" s="12">
        <v>3887172</v>
      </c>
      <c r="F227" s="13">
        <v>469</v>
      </c>
      <c r="G227">
        <v>749</v>
      </c>
      <c r="H227" s="12">
        <v>1218</v>
      </c>
      <c r="I227" s="15">
        <f t="shared" si="17"/>
        <v>0.84838849425752194</v>
      </c>
      <c r="J227" s="15">
        <f t="shared" si="18"/>
        <v>0.15161150574247809</v>
      </c>
      <c r="K227" s="14">
        <f t="shared" si="20"/>
        <v>1.2065326669362714E-4</v>
      </c>
      <c r="L227" s="14">
        <f t="shared" si="21"/>
        <v>1.9268506770474782E-4</v>
      </c>
      <c r="M227" s="16">
        <f t="shared" si="19"/>
        <v>3.1333833439837496E-4</v>
      </c>
    </row>
    <row r="228" spans="1:13" x14ac:dyDescent="0.3">
      <c r="A228" t="s">
        <v>47</v>
      </c>
      <c r="B228" s="12">
        <v>2016</v>
      </c>
      <c r="C228" s="13">
        <v>3333775.2770000007</v>
      </c>
      <c r="D228">
        <v>633154.89500000002</v>
      </c>
      <c r="E228" s="12">
        <v>3966871</v>
      </c>
      <c r="F228" s="13">
        <v>435</v>
      </c>
      <c r="G228">
        <v>353</v>
      </c>
      <c r="H228" s="12">
        <v>788</v>
      </c>
      <c r="I228" s="15">
        <f t="shared" si="17"/>
        <v>0.84040425741094194</v>
      </c>
      <c r="J228" s="15">
        <f t="shared" si="18"/>
        <v>0.15961065913159264</v>
      </c>
      <c r="K228" s="14">
        <f t="shared" si="20"/>
        <v>1.0965821676580862E-4</v>
      </c>
      <c r="L228" s="14">
        <f t="shared" si="21"/>
        <v>8.8987012685817112E-5</v>
      </c>
      <c r="M228" s="16">
        <f t="shared" si="19"/>
        <v>1.9864522945162573E-4</v>
      </c>
    </row>
    <row r="229" spans="1:13" x14ac:dyDescent="0.3">
      <c r="A229" t="s">
        <v>27</v>
      </c>
      <c r="B229" s="12">
        <v>2016</v>
      </c>
      <c r="C229" s="13">
        <v>3453613.3499999996</v>
      </c>
      <c r="D229">
        <v>602014.45499999996</v>
      </c>
      <c r="E229" s="12">
        <v>4055532</v>
      </c>
      <c r="F229" s="13">
        <v>446</v>
      </c>
      <c r="G229">
        <v>701</v>
      </c>
      <c r="H229" s="12">
        <v>1147</v>
      </c>
      <c r="I229" s="15">
        <f t="shared" si="17"/>
        <v>0.85158084068871842</v>
      </c>
      <c r="J229" s="15">
        <f t="shared" si="18"/>
        <v>0.14844278259917562</v>
      </c>
      <c r="K229" s="14">
        <f t="shared" si="20"/>
        <v>1.0997324148841631E-4</v>
      </c>
      <c r="L229" s="14">
        <f t="shared" si="21"/>
        <v>1.7285031902103103E-4</v>
      </c>
      <c r="M229" s="16">
        <f t="shared" si="19"/>
        <v>2.8282356050944737E-4</v>
      </c>
    </row>
    <row r="230" spans="1:13" x14ac:dyDescent="0.3">
      <c r="A230" t="s">
        <v>27</v>
      </c>
      <c r="B230" s="12">
        <v>2014</v>
      </c>
      <c r="C230" s="13">
        <v>3469482.5210000006</v>
      </c>
      <c r="D230">
        <v>561445.85</v>
      </c>
      <c r="E230" s="12">
        <v>4030950</v>
      </c>
      <c r="F230" s="13">
        <v>466</v>
      </c>
      <c r="G230">
        <v>793</v>
      </c>
      <c r="H230" s="12">
        <v>1259</v>
      </c>
      <c r="I230" s="15">
        <f t="shared" si="17"/>
        <v>0.8607108798174129</v>
      </c>
      <c r="J230" s="15">
        <f t="shared" si="18"/>
        <v>0.13928375444994356</v>
      </c>
      <c r="K230" s="14">
        <f t="shared" si="20"/>
        <v>1.1560550242498667E-4</v>
      </c>
      <c r="L230" s="14">
        <f t="shared" si="21"/>
        <v>1.9672781850432281E-4</v>
      </c>
      <c r="M230" s="16">
        <f t="shared" si="19"/>
        <v>3.1233332092930947E-4</v>
      </c>
    </row>
    <row r="231" spans="1:13" x14ac:dyDescent="0.3">
      <c r="A231" t="s">
        <v>27</v>
      </c>
      <c r="B231" s="12">
        <v>2010</v>
      </c>
      <c r="C231" s="13">
        <v>3508058.372</v>
      </c>
      <c r="D231">
        <v>524273.91599999991</v>
      </c>
      <c r="E231" s="12">
        <v>4032123</v>
      </c>
      <c r="F231" s="13">
        <v>441</v>
      </c>
      <c r="G231">
        <v>770</v>
      </c>
      <c r="H231" s="12">
        <v>1211</v>
      </c>
      <c r="I231" s="15">
        <f t="shared" si="17"/>
        <v>0.870027618701116</v>
      </c>
      <c r="J231" s="15">
        <f t="shared" si="18"/>
        <v>0.1300242864614993</v>
      </c>
      <c r="K231" s="14">
        <f t="shared" si="20"/>
        <v>1.0937166351324103E-4</v>
      </c>
      <c r="L231" s="14">
        <f t="shared" si="21"/>
        <v>1.9096639661042087E-4</v>
      </c>
      <c r="M231" s="16">
        <f t="shared" si="19"/>
        <v>3.0033806012366189E-4</v>
      </c>
    </row>
    <row r="232" spans="1:13" x14ac:dyDescent="0.3">
      <c r="A232" t="s">
        <v>27</v>
      </c>
      <c r="B232" s="12">
        <v>2013</v>
      </c>
      <c r="C232" s="13">
        <v>3537210.4849999994</v>
      </c>
      <c r="D232">
        <v>559609.09299999999</v>
      </c>
      <c r="E232" s="12">
        <v>4094900</v>
      </c>
      <c r="F232" s="13">
        <v>430</v>
      </c>
      <c r="G232">
        <v>750</v>
      </c>
      <c r="H232" s="12">
        <v>1180</v>
      </c>
      <c r="I232" s="15">
        <f t="shared" si="17"/>
        <v>0.86380875845563976</v>
      </c>
      <c r="J232" s="15">
        <f t="shared" si="18"/>
        <v>0.13666001440816625</v>
      </c>
      <c r="K232" s="14">
        <f t="shared" si="20"/>
        <v>1.0500866932037413E-4</v>
      </c>
      <c r="L232" s="14">
        <f t="shared" si="21"/>
        <v>1.8315465579135022E-4</v>
      </c>
      <c r="M232" s="16">
        <f t="shared" si="19"/>
        <v>2.8816332511172435E-4</v>
      </c>
    </row>
    <row r="233" spans="1:13" x14ac:dyDescent="0.3">
      <c r="A233" t="s">
        <v>27</v>
      </c>
      <c r="B233" s="12">
        <v>2011</v>
      </c>
      <c r="C233" s="13">
        <v>3539480.1209999998</v>
      </c>
      <c r="D233">
        <v>541225.6930000002</v>
      </c>
      <c r="E233" s="12">
        <v>4079507</v>
      </c>
      <c r="F233" s="13">
        <v>485</v>
      </c>
      <c r="G233">
        <v>761</v>
      </c>
      <c r="H233" s="12">
        <v>1246</v>
      </c>
      <c r="I233" s="15">
        <f t="shared" si="17"/>
        <v>0.86762447545745103</v>
      </c>
      <c r="J233" s="15">
        <f t="shared" si="18"/>
        <v>0.13266938701171493</v>
      </c>
      <c r="K233" s="14">
        <f t="shared" si="20"/>
        <v>1.1888691452177923E-4</v>
      </c>
      <c r="L233" s="14">
        <f t="shared" si="21"/>
        <v>1.8654214835272988E-4</v>
      </c>
      <c r="M233" s="16">
        <f t="shared" si="19"/>
        <v>3.0542906287450911E-4</v>
      </c>
    </row>
    <row r="234" spans="1:13" x14ac:dyDescent="0.3">
      <c r="A234" t="s">
        <v>27</v>
      </c>
      <c r="B234" s="12">
        <v>2015</v>
      </c>
      <c r="C234" s="13">
        <v>3544386.1630000006</v>
      </c>
      <c r="D234">
        <v>596258.80399999989</v>
      </c>
      <c r="E234" s="12">
        <v>4141008</v>
      </c>
      <c r="F234" s="13">
        <v>425</v>
      </c>
      <c r="G234">
        <v>791</v>
      </c>
      <c r="H234" s="12">
        <v>1216</v>
      </c>
      <c r="I234" s="15">
        <f t="shared" si="17"/>
        <v>0.85592352465873056</v>
      </c>
      <c r="J234" s="15">
        <f t="shared" si="18"/>
        <v>0.14398880755603463</v>
      </c>
      <c r="K234" s="14">
        <f t="shared" si="20"/>
        <v>1.0263201616611221E-4</v>
      </c>
      <c r="L234" s="14">
        <f t="shared" si="21"/>
        <v>1.9101629361739943E-4</v>
      </c>
      <c r="M234" s="16">
        <f t="shared" si="19"/>
        <v>2.9364830978351165E-4</v>
      </c>
    </row>
    <row r="235" spans="1:13" x14ac:dyDescent="0.3">
      <c r="A235" t="s">
        <v>27</v>
      </c>
      <c r="B235" s="12">
        <v>2012</v>
      </c>
      <c r="C235" s="13">
        <v>3627137.3549999991</v>
      </c>
      <c r="D235">
        <v>561653.06999999995</v>
      </c>
      <c r="E235" s="12">
        <v>4189112</v>
      </c>
      <c r="F235" s="13">
        <v>457</v>
      </c>
      <c r="G235">
        <v>708</v>
      </c>
      <c r="H235" s="12">
        <v>1165</v>
      </c>
      <c r="I235" s="15">
        <f t="shared" si="17"/>
        <v>0.8658487419290769</v>
      </c>
      <c r="J235" s="15">
        <f t="shared" si="18"/>
        <v>0.13407449359195933</v>
      </c>
      <c r="K235" s="14">
        <f t="shared" si="20"/>
        <v>1.0909233269485275E-4</v>
      </c>
      <c r="L235" s="14">
        <f t="shared" si="21"/>
        <v>1.6900956575045023E-4</v>
      </c>
      <c r="M235" s="16">
        <f t="shared" si="19"/>
        <v>2.7810189844530296E-4</v>
      </c>
    </row>
    <row r="236" spans="1:13" x14ac:dyDescent="0.3">
      <c r="A236" t="s">
        <v>27</v>
      </c>
      <c r="B236" s="12">
        <v>2009</v>
      </c>
      <c r="C236" s="13">
        <v>3691486.1359999995</v>
      </c>
      <c r="D236">
        <v>546937.87700000009</v>
      </c>
      <c r="E236" s="12">
        <v>4238868</v>
      </c>
      <c r="F236" s="13">
        <v>474</v>
      </c>
      <c r="G236">
        <v>806</v>
      </c>
      <c r="H236" s="12">
        <v>1280</v>
      </c>
      <c r="I236" s="15">
        <f t="shared" si="17"/>
        <v>0.87086602743940111</v>
      </c>
      <c r="J236" s="15">
        <f t="shared" si="18"/>
        <v>0.12902923068139893</v>
      </c>
      <c r="K236" s="14">
        <f t="shared" si="20"/>
        <v>1.1182230727637661E-4</v>
      </c>
      <c r="L236" s="14">
        <f t="shared" si="21"/>
        <v>1.9014510477797375E-4</v>
      </c>
      <c r="M236" s="16">
        <f t="shared" si="19"/>
        <v>3.0196741205435038E-4</v>
      </c>
    </row>
    <row r="237" spans="1:13" x14ac:dyDescent="0.3">
      <c r="A237" t="s">
        <v>28</v>
      </c>
      <c r="B237" s="12">
        <v>2017</v>
      </c>
      <c r="C237" s="13">
        <v>3730089</v>
      </c>
      <c r="D237">
        <v>602907</v>
      </c>
      <c r="E237" s="12">
        <v>4332996</v>
      </c>
      <c r="F237" s="13">
        <v>418</v>
      </c>
      <c r="G237">
        <v>601</v>
      </c>
      <c r="H237" s="12">
        <v>1019</v>
      </c>
      <c r="I237" s="15">
        <f t="shared" si="17"/>
        <v>0.86085678362038642</v>
      </c>
      <c r="J237" s="15">
        <f t="shared" si="18"/>
        <v>0.13914321637961355</v>
      </c>
      <c r="K237" s="14">
        <f t="shared" si="20"/>
        <v>9.6469048205906485E-5</v>
      </c>
      <c r="L237" s="14">
        <f t="shared" si="21"/>
        <v>1.3870310519557369E-4</v>
      </c>
      <c r="M237" s="16">
        <f t="shared" si="19"/>
        <v>2.3517215340148018E-4</v>
      </c>
    </row>
    <row r="238" spans="1:13" x14ac:dyDescent="0.3">
      <c r="A238" t="s">
        <v>10</v>
      </c>
      <c r="B238" s="12">
        <v>2015</v>
      </c>
      <c r="C238" s="20">
        <v>3750510.4929999993</v>
      </c>
      <c r="D238">
        <v>643878.32299999997</v>
      </c>
      <c r="E238" s="12">
        <v>4394374</v>
      </c>
      <c r="F238" s="13">
        <v>482</v>
      </c>
      <c r="G238">
        <v>878</v>
      </c>
      <c r="H238" s="12">
        <v>1360</v>
      </c>
      <c r="I238" s="15">
        <f t="shared" si="17"/>
        <v>0.85348003902262282</v>
      </c>
      <c r="J238" s="15">
        <f t="shared" si="18"/>
        <v>0.14652333256113384</v>
      </c>
      <c r="K238" s="14">
        <f t="shared" si="20"/>
        <v>1.0968570267346384E-4</v>
      </c>
      <c r="L238" s="14">
        <f t="shared" si="21"/>
        <v>1.9980092727655863E-4</v>
      </c>
      <c r="M238" s="16">
        <f t="shared" si="19"/>
        <v>3.0948662995002247E-4</v>
      </c>
    </row>
    <row r="239" spans="1:13" x14ac:dyDescent="0.3">
      <c r="A239" t="s">
        <v>50</v>
      </c>
      <c r="B239" s="12">
        <v>2011</v>
      </c>
      <c r="C239" s="13">
        <v>3776594.3230000008</v>
      </c>
      <c r="D239">
        <v>587774.95699999994</v>
      </c>
      <c r="E239" s="12">
        <v>4364414</v>
      </c>
      <c r="F239" s="13">
        <v>464</v>
      </c>
      <c r="G239">
        <v>622</v>
      </c>
      <c r="H239" s="12">
        <v>1086</v>
      </c>
      <c r="I239" s="15">
        <f t="shared" si="17"/>
        <v>0.86531532595212113</v>
      </c>
      <c r="J239" s="15">
        <f t="shared" si="18"/>
        <v>0.13467442754055869</v>
      </c>
      <c r="K239" s="14">
        <f t="shared" si="20"/>
        <v>1.0631438722357686E-4</v>
      </c>
      <c r="L239" s="14">
        <f t="shared" si="21"/>
        <v>1.4251626907988105E-4</v>
      </c>
      <c r="M239" s="16">
        <f t="shared" si="19"/>
        <v>2.4883065630345794E-4</v>
      </c>
    </row>
    <row r="240" spans="1:13" x14ac:dyDescent="0.3">
      <c r="A240" t="s">
        <v>28</v>
      </c>
      <c r="B240" s="12">
        <v>2013</v>
      </c>
      <c r="C240" s="13">
        <v>3780552.3979999996</v>
      </c>
      <c r="D240">
        <v>547080.58799999999</v>
      </c>
      <c r="E240" s="12">
        <v>4326373</v>
      </c>
      <c r="F240" s="13">
        <v>494</v>
      </c>
      <c r="G240">
        <v>666</v>
      </c>
      <c r="H240" s="12">
        <v>1160</v>
      </c>
      <c r="I240" s="15">
        <f t="shared" si="17"/>
        <v>0.87383875546560585</v>
      </c>
      <c r="J240" s="15">
        <f t="shared" si="18"/>
        <v>0.12645247832306644</v>
      </c>
      <c r="K240" s="14">
        <f t="shared" si="20"/>
        <v>1.1418340489828316E-4</v>
      </c>
      <c r="L240" s="14">
        <f t="shared" si="21"/>
        <v>1.539395701665113E-4</v>
      </c>
      <c r="M240" s="16">
        <f t="shared" si="19"/>
        <v>2.6812297506479446E-4</v>
      </c>
    </row>
    <row r="241" spans="1:13" x14ac:dyDescent="0.3">
      <c r="A241" t="s">
        <v>28</v>
      </c>
      <c r="B241" s="12">
        <v>2015</v>
      </c>
      <c r="C241" s="13">
        <v>3802699.6059999997</v>
      </c>
      <c r="D241">
        <v>583976.42999999982</v>
      </c>
      <c r="E241" s="12">
        <v>4389027</v>
      </c>
      <c r="F241" s="13">
        <v>455</v>
      </c>
      <c r="G241">
        <v>591</v>
      </c>
      <c r="H241" s="12">
        <v>1046</v>
      </c>
      <c r="I241" s="15">
        <f t="shared" si="17"/>
        <v>0.86641062039490746</v>
      </c>
      <c r="J241" s="15">
        <f t="shared" si="18"/>
        <v>0.13305373377744084</v>
      </c>
      <c r="K241" s="14">
        <f t="shared" si="20"/>
        <v>1.0366762382641984E-4</v>
      </c>
      <c r="L241" s="14">
        <f t="shared" si="21"/>
        <v>1.3465399050860248E-4</v>
      </c>
      <c r="M241" s="16">
        <f t="shared" si="19"/>
        <v>2.3832161433502233E-4</v>
      </c>
    </row>
    <row r="242" spans="1:13" x14ac:dyDescent="0.3">
      <c r="A242" t="s">
        <v>50</v>
      </c>
      <c r="B242" s="12">
        <v>2009</v>
      </c>
      <c r="C242" s="13">
        <v>3810033.8420000006</v>
      </c>
      <c r="D242">
        <v>575792.90800000017</v>
      </c>
      <c r="E242" s="12">
        <v>4386090</v>
      </c>
      <c r="F242" s="13">
        <v>463</v>
      </c>
      <c r="G242">
        <v>562</v>
      </c>
      <c r="H242" s="12">
        <v>1025</v>
      </c>
      <c r="I242" s="15">
        <f t="shared" si="17"/>
        <v>0.86866294170890257</v>
      </c>
      <c r="J242" s="15">
        <f t="shared" si="18"/>
        <v>0.13127703900284768</v>
      </c>
      <c r="K242" s="14">
        <f t="shared" si="20"/>
        <v>1.055609894005823E-4</v>
      </c>
      <c r="L242" s="14">
        <f t="shared" si="21"/>
        <v>1.2813234566550163E-4</v>
      </c>
      <c r="M242" s="16">
        <f t="shared" si="19"/>
        <v>2.3369333506608391E-4</v>
      </c>
    </row>
    <row r="243" spans="1:13" x14ac:dyDescent="0.3">
      <c r="A243" t="s">
        <v>28</v>
      </c>
      <c r="B243" s="12">
        <v>2016</v>
      </c>
      <c r="C243" s="13">
        <v>3827638.625</v>
      </c>
      <c r="D243">
        <v>652120.73499999999</v>
      </c>
      <c r="E243" s="12">
        <v>4481311</v>
      </c>
      <c r="F243" s="13">
        <v>471</v>
      </c>
      <c r="G243">
        <v>525</v>
      </c>
      <c r="H243" s="12">
        <v>996</v>
      </c>
      <c r="I243" s="15">
        <f t="shared" si="17"/>
        <v>0.85413367315948396</v>
      </c>
      <c r="J243" s="15">
        <f t="shared" si="18"/>
        <v>0.14552007994981825</v>
      </c>
      <c r="K243" s="14">
        <f t="shared" si="20"/>
        <v>1.0510317181735434E-4</v>
      </c>
      <c r="L243" s="14">
        <f t="shared" si="21"/>
        <v>1.171532169938663E-4</v>
      </c>
      <c r="M243" s="16">
        <f t="shared" si="19"/>
        <v>2.2225638881122065E-4</v>
      </c>
    </row>
    <row r="244" spans="1:13" x14ac:dyDescent="0.3">
      <c r="A244" t="s">
        <v>28</v>
      </c>
      <c r="B244" s="12">
        <v>2012</v>
      </c>
      <c r="C244" s="13">
        <v>3845475.8479999998</v>
      </c>
      <c r="D244">
        <v>540326.72000000009</v>
      </c>
      <c r="E244" s="12">
        <v>4385910</v>
      </c>
      <c r="F244" s="13">
        <v>460</v>
      </c>
      <c r="G244">
        <v>623</v>
      </c>
      <c r="H244" s="12">
        <v>1083</v>
      </c>
      <c r="I244" s="15">
        <f t="shared" si="17"/>
        <v>0.87677947062297212</v>
      </c>
      <c r="J244" s="15">
        <f t="shared" si="18"/>
        <v>0.12319603457435289</v>
      </c>
      <c r="K244" s="14">
        <f t="shared" si="20"/>
        <v>1.0488131311404019E-4</v>
      </c>
      <c r="L244" s="14">
        <f t="shared" si="21"/>
        <v>1.4204577841314572E-4</v>
      </c>
      <c r="M244" s="16">
        <f t="shared" si="19"/>
        <v>2.4692709152718593E-4</v>
      </c>
    </row>
    <row r="245" spans="1:13" x14ac:dyDescent="0.3">
      <c r="A245" t="s">
        <v>10</v>
      </c>
      <c r="B245" s="12">
        <v>2016</v>
      </c>
      <c r="C245" s="13">
        <v>3851524.1849999996</v>
      </c>
      <c r="D245">
        <v>691297.94300000009</v>
      </c>
      <c r="E245" s="12">
        <v>4543394</v>
      </c>
      <c r="F245" s="13">
        <v>514</v>
      </c>
      <c r="G245">
        <v>757</v>
      </c>
      <c r="H245" s="12">
        <v>1271</v>
      </c>
      <c r="I245" s="15">
        <f t="shared" si="17"/>
        <v>0.84771960895313059</v>
      </c>
      <c r="J245" s="15">
        <f t="shared" si="18"/>
        <v>0.15215452214798014</v>
      </c>
      <c r="K245" s="14">
        <f t="shared" si="20"/>
        <v>1.131312846739684E-4</v>
      </c>
      <c r="L245" s="14">
        <f t="shared" si="21"/>
        <v>1.6661553015212855E-4</v>
      </c>
      <c r="M245" s="16">
        <f t="shared" si="19"/>
        <v>2.7974681482609699E-4</v>
      </c>
    </row>
    <row r="246" spans="1:13" x14ac:dyDescent="0.3">
      <c r="A246" t="s">
        <v>10</v>
      </c>
      <c r="B246" s="12">
        <v>2014</v>
      </c>
      <c r="C246" s="13">
        <v>3857482.7040000004</v>
      </c>
      <c r="D246">
        <v>646890.2350000001</v>
      </c>
      <c r="E246" s="12">
        <v>4505293</v>
      </c>
      <c r="F246" s="13">
        <v>504</v>
      </c>
      <c r="G246">
        <v>781</v>
      </c>
      <c r="H246" s="12">
        <v>1285</v>
      </c>
      <c r="I246" s="15">
        <f t="shared" si="17"/>
        <v>0.85621128392759371</v>
      </c>
      <c r="J246" s="15">
        <f t="shared" si="18"/>
        <v>0.14358449827791447</v>
      </c>
      <c r="K246" s="14">
        <f t="shared" si="20"/>
        <v>1.1186841788092361E-4</v>
      </c>
      <c r="L246" s="14">
        <f t="shared" si="21"/>
        <v>1.7335165548611377E-4</v>
      </c>
      <c r="M246" s="16">
        <f t="shared" si="19"/>
        <v>2.8522007336703742E-4</v>
      </c>
    </row>
    <row r="247" spans="1:13" x14ac:dyDescent="0.3">
      <c r="A247" t="s">
        <v>50</v>
      </c>
      <c r="B247" s="12">
        <v>2015</v>
      </c>
      <c r="C247" s="13">
        <v>3868748.2959999996</v>
      </c>
      <c r="D247">
        <v>694031.32400000002</v>
      </c>
      <c r="E247" s="12">
        <v>4561064</v>
      </c>
      <c r="F247" s="13">
        <v>429</v>
      </c>
      <c r="G247">
        <v>681</v>
      </c>
      <c r="H247" s="12">
        <v>1110</v>
      </c>
      <c r="I247" s="15">
        <f t="shared" si="17"/>
        <v>0.84821179794889956</v>
      </c>
      <c r="J247" s="15">
        <f t="shared" si="18"/>
        <v>0.15216434674014659</v>
      </c>
      <c r="K247" s="14">
        <f t="shared" si="20"/>
        <v>9.4057000734916235E-5</v>
      </c>
      <c r="L247" s="14">
        <f t="shared" si="21"/>
        <v>1.4930726690088103E-4</v>
      </c>
      <c r="M247" s="16">
        <f t="shared" si="19"/>
        <v>2.4336426763579727E-4</v>
      </c>
    </row>
    <row r="248" spans="1:13" x14ac:dyDescent="0.3">
      <c r="A248" t="s">
        <v>10</v>
      </c>
      <c r="B248" s="12">
        <v>2017</v>
      </c>
      <c r="C248" s="13">
        <v>3874070</v>
      </c>
      <c r="D248">
        <v>719062</v>
      </c>
      <c r="E248" s="12">
        <v>4593132</v>
      </c>
      <c r="F248" s="13">
        <v>504</v>
      </c>
      <c r="G248">
        <v>940</v>
      </c>
      <c r="H248" s="12">
        <v>1444</v>
      </c>
      <c r="I248" s="15">
        <f t="shared" si="17"/>
        <v>0.8434484356208356</v>
      </c>
      <c r="J248" s="15">
        <f t="shared" si="18"/>
        <v>0.15655156437916437</v>
      </c>
      <c r="K248" s="14">
        <f t="shared" si="20"/>
        <v>1.0972904763024445E-4</v>
      </c>
      <c r="L248" s="14">
        <f t="shared" si="21"/>
        <v>2.0465338248497976E-4</v>
      </c>
      <c r="M248" s="16">
        <f t="shared" si="19"/>
        <v>3.1438243011522418E-4</v>
      </c>
    </row>
    <row r="249" spans="1:13" x14ac:dyDescent="0.3">
      <c r="A249" t="s">
        <v>28</v>
      </c>
      <c r="B249" s="12">
        <v>2009</v>
      </c>
      <c r="C249" s="13">
        <v>3877910.9380000005</v>
      </c>
      <c r="D249">
        <v>534792.00600000005</v>
      </c>
      <c r="E249" s="12">
        <v>4411546</v>
      </c>
      <c r="F249" s="13">
        <v>412</v>
      </c>
      <c r="G249">
        <v>685</v>
      </c>
      <c r="H249" s="12">
        <v>1097</v>
      </c>
      <c r="I249" s="15">
        <f t="shared" si="17"/>
        <v>0.87903672272713473</v>
      </c>
      <c r="J249" s="15">
        <f t="shared" si="18"/>
        <v>0.1212255309136525</v>
      </c>
      <c r="K249" s="14">
        <f t="shared" si="20"/>
        <v>9.3391296384532775E-5</v>
      </c>
      <c r="L249" s="14">
        <f t="shared" si="21"/>
        <v>1.5527436413447803E-4</v>
      </c>
      <c r="M249" s="16">
        <f t="shared" si="19"/>
        <v>2.4866566051901082E-4</v>
      </c>
    </row>
    <row r="250" spans="1:13" x14ac:dyDescent="0.3">
      <c r="A250" t="s">
        <v>50</v>
      </c>
      <c r="B250" s="12">
        <v>2010</v>
      </c>
      <c r="C250" s="13">
        <v>3879888.2540000002</v>
      </c>
      <c r="D250">
        <v>585165.03799999994</v>
      </c>
      <c r="E250" s="12">
        <v>4464937</v>
      </c>
      <c r="F250" s="13">
        <v>460</v>
      </c>
      <c r="G250">
        <v>609</v>
      </c>
      <c r="H250" s="12">
        <v>1069</v>
      </c>
      <c r="I250" s="15">
        <f t="shared" si="17"/>
        <v>0.86896819686369597</v>
      </c>
      <c r="J250" s="15">
        <f t="shared" si="18"/>
        <v>0.13105784874456233</v>
      </c>
      <c r="K250" s="14">
        <f t="shared" si="20"/>
        <v>1.0302496989319222E-4</v>
      </c>
      <c r="L250" s="14">
        <f t="shared" si="21"/>
        <v>1.3639610144555232E-4</v>
      </c>
      <c r="M250" s="16">
        <f t="shared" si="19"/>
        <v>2.3942107133874453E-4</v>
      </c>
    </row>
    <row r="251" spans="1:13" x14ac:dyDescent="0.3">
      <c r="A251" t="s">
        <v>28</v>
      </c>
      <c r="B251" s="12">
        <v>2014</v>
      </c>
      <c r="C251" s="13">
        <v>3881918.1460000002</v>
      </c>
      <c r="D251">
        <v>580674.83199999994</v>
      </c>
      <c r="E251" s="12">
        <v>4461998</v>
      </c>
      <c r="F251" s="13">
        <v>553</v>
      </c>
      <c r="G251">
        <v>595</v>
      </c>
      <c r="H251" s="12">
        <v>1148</v>
      </c>
      <c r="I251" s="15">
        <f t="shared" si="17"/>
        <v>0.86999549215396332</v>
      </c>
      <c r="J251" s="15">
        <f t="shared" si="18"/>
        <v>0.13013785124959715</v>
      </c>
      <c r="K251" s="14">
        <f t="shared" si="20"/>
        <v>1.23935510504487E-4</v>
      </c>
      <c r="L251" s="14">
        <f t="shared" si="21"/>
        <v>1.3334833408710627E-4</v>
      </c>
      <c r="M251" s="16">
        <f t="shared" si="19"/>
        <v>2.5728384459159325E-4</v>
      </c>
    </row>
    <row r="252" spans="1:13" x14ac:dyDescent="0.3">
      <c r="A252" t="s">
        <v>28</v>
      </c>
      <c r="B252" s="12">
        <v>2010</v>
      </c>
      <c r="C252" s="13">
        <v>3887509.966</v>
      </c>
      <c r="D252">
        <v>535176.98699999996</v>
      </c>
      <c r="E252" s="12">
        <v>4421938</v>
      </c>
      <c r="F252" s="13">
        <v>428</v>
      </c>
      <c r="G252">
        <v>717</v>
      </c>
      <c r="H252" s="12">
        <v>1145</v>
      </c>
      <c r="I252" s="15">
        <f t="shared" si="17"/>
        <v>0.87914167181900782</v>
      </c>
      <c r="J252" s="15">
        <f t="shared" si="18"/>
        <v>0.12102770029792366</v>
      </c>
      <c r="K252" s="14">
        <f t="shared" si="20"/>
        <v>9.6790140431638797E-5</v>
      </c>
      <c r="L252" s="14">
        <f t="shared" si="21"/>
        <v>1.6214609974178742E-4</v>
      </c>
      <c r="M252" s="16">
        <f t="shared" si="19"/>
        <v>2.5893624017342621E-4</v>
      </c>
    </row>
    <row r="253" spans="1:13" x14ac:dyDescent="0.3">
      <c r="A253" t="s">
        <v>50</v>
      </c>
      <c r="B253" s="12">
        <v>2012</v>
      </c>
      <c r="C253" s="13">
        <v>3902883.4600000009</v>
      </c>
      <c r="D253">
        <v>625832.43499999994</v>
      </c>
      <c r="E253" s="12">
        <v>4528696</v>
      </c>
      <c r="F253" s="13">
        <v>435</v>
      </c>
      <c r="G253">
        <v>580</v>
      </c>
      <c r="H253" s="12">
        <v>1015</v>
      </c>
      <c r="I253" s="15">
        <f t="shared" si="17"/>
        <v>0.86181175773335217</v>
      </c>
      <c r="J253" s="15">
        <f t="shared" si="18"/>
        <v>0.13819263536346885</v>
      </c>
      <c r="K253" s="14">
        <f t="shared" si="20"/>
        <v>9.6054140088007667E-5</v>
      </c>
      <c r="L253" s="14">
        <f t="shared" si="21"/>
        <v>1.2807218678401023E-4</v>
      </c>
      <c r="M253" s="16">
        <f t="shared" si="19"/>
        <v>2.241263268720179E-4</v>
      </c>
    </row>
    <row r="254" spans="1:13" x14ac:dyDescent="0.3">
      <c r="A254" t="s">
        <v>50</v>
      </c>
      <c r="B254" s="12">
        <v>2013</v>
      </c>
      <c r="C254" s="13">
        <v>3904721.4079999998</v>
      </c>
      <c r="D254">
        <v>647325.08700000017</v>
      </c>
      <c r="E254" s="12">
        <v>4550845</v>
      </c>
      <c r="F254" s="13">
        <v>397</v>
      </c>
      <c r="G254">
        <v>593</v>
      </c>
      <c r="H254" s="12">
        <v>990</v>
      </c>
      <c r="I254" s="15">
        <f t="shared" si="17"/>
        <v>0.85802118243974468</v>
      </c>
      <c r="J254" s="15">
        <f t="shared" si="18"/>
        <v>0.14224283336391377</v>
      </c>
      <c r="K254" s="14">
        <f t="shared" si="20"/>
        <v>8.7236546179885271E-5</v>
      </c>
      <c r="L254" s="14">
        <f t="shared" si="21"/>
        <v>1.3030547074224677E-4</v>
      </c>
      <c r="M254" s="16">
        <f t="shared" si="19"/>
        <v>2.1754201692213206E-4</v>
      </c>
    </row>
    <row r="255" spans="1:13" x14ac:dyDescent="0.3">
      <c r="A255" t="s">
        <v>28</v>
      </c>
      <c r="B255" s="12">
        <v>2011</v>
      </c>
      <c r="C255" s="13">
        <v>3919123.1570000001</v>
      </c>
      <c r="D255">
        <v>546632.58600000001</v>
      </c>
      <c r="E255" s="12">
        <v>4465332</v>
      </c>
      <c r="F255" s="13">
        <v>479</v>
      </c>
      <c r="G255">
        <v>668</v>
      </c>
      <c r="H255" s="12">
        <v>1147</v>
      </c>
      <c r="I255" s="15">
        <f t="shared" si="17"/>
        <v>0.87767788755684906</v>
      </c>
      <c r="J255" s="15">
        <f t="shared" si="18"/>
        <v>0.12241700863452035</v>
      </c>
      <c r="K255" s="14">
        <f t="shared" si="20"/>
        <v>1.072708591432843E-4</v>
      </c>
      <c r="L255" s="14">
        <f t="shared" si="21"/>
        <v>1.4959693926453846E-4</v>
      </c>
      <c r="M255" s="16">
        <f t="shared" si="19"/>
        <v>2.5686779840782274E-4</v>
      </c>
    </row>
    <row r="256" spans="1:13" x14ac:dyDescent="0.3">
      <c r="A256" t="s">
        <v>50</v>
      </c>
      <c r="B256" s="12">
        <v>2014</v>
      </c>
      <c r="C256" s="13">
        <v>3949495.784</v>
      </c>
      <c r="D256">
        <v>681593.68200000003</v>
      </c>
      <c r="E256" s="12">
        <v>4630485</v>
      </c>
      <c r="F256" s="13">
        <v>494</v>
      </c>
      <c r="G256">
        <v>552</v>
      </c>
      <c r="H256" s="12">
        <v>1046</v>
      </c>
      <c r="I256" s="15">
        <f t="shared" si="17"/>
        <v>0.85293350135029056</v>
      </c>
      <c r="J256" s="15">
        <f t="shared" si="18"/>
        <v>0.1471970391870398</v>
      </c>
      <c r="K256" s="14">
        <f t="shared" si="20"/>
        <v>1.0668428901076237E-4</v>
      </c>
      <c r="L256" s="14">
        <f t="shared" si="21"/>
        <v>1.1920997476506241E-4</v>
      </c>
      <c r="M256" s="16">
        <f t="shared" si="19"/>
        <v>2.2589426377582478E-4</v>
      </c>
    </row>
    <row r="257" spans="1:13" x14ac:dyDescent="0.3">
      <c r="A257" t="s">
        <v>50</v>
      </c>
      <c r="B257" s="12">
        <v>2017</v>
      </c>
      <c r="C257" s="13">
        <v>3969882</v>
      </c>
      <c r="D257">
        <v>766805</v>
      </c>
      <c r="E257" s="12">
        <v>4736687</v>
      </c>
      <c r="F257" s="13">
        <v>432</v>
      </c>
      <c r="G257">
        <v>579</v>
      </c>
      <c r="H257" s="12">
        <v>1011</v>
      </c>
      <c r="I257" s="15">
        <f t="shared" si="17"/>
        <v>0.83811364356563989</v>
      </c>
      <c r="J257" s="15">
        <f t="shared" si="18"/>
        <v>0.16188635643436014</v>
      </c>
      <c r="K257" s="14">
        <f t="shared" si="20"/>
        <v>9.1202986391121057E-5</v>
      </c>
      <c r="L257" s="14">
        <f t="shared" si="21"/>
        <v>1.2223733592698862E-4</v>
      </c>
      <c r="M257" s="16">
        <f t="shared" si="19"/>
        <v>2.1344032231810969E-4</v>
      </c>
    </row>
    <row r="258" spans="1:13" x14ac:dyDescent="0.3">
      <c r="A258" t="s">
        <v>50</v>
      </c>
      <c r="B258" s="12">
        <v>2016</v>
      </c>
      <c r="C258" s="13">
        <v>3973459.1959999995</v>
      </c>
      <c r="D258">
        <v>754085.36499999987</v>
      </c>
      <c r="E258" s="12">
        <v>4731177</v>
      </c>
      <c r="F258" s="13">
        <v>433</v>
      </c>
      <c r="G258">
        <v>521</v>
      </c>
      <c r="H258" s="12">
        <v>954</v>
      </c>
      <c r="I258" s="15">
        <f t="shared" si="17"/>
        <v>0.83984581342021225</v>
      </c>
      <c r="J258" s="15">
        <f t="shared" si="18"/>
        <v>0.15938642012336462</v>
      </c>
      <c r="K258" s="14">
        <f t="shared" si="20"/>
        <v>9.1520566658148699E-5</v>
      </c>
      <c r="L258" s="14">
        <f t="shared" si="21"/>
        <v>1.1012058944317661E-4</v>
      </c>
      <c r="M258" s="16">
        <f t="shared" si="19"/>
        <v>2.0164115610132532E-4</v>
      </c>
    </row>
    <row r="259" spans="1:13" x14ac:dyDescent="0.3">
      <c r="A259" t="s">
        <v>10</v>
      </c>
      <c r="B259" s="12">
        <v>2013</v>
      </c>
      <c r="C259" s="13">
        <v>3986687.5750000002</v>
      </c>
      <c r="D259">
        <v>658993.38099999994</v>
      </c>
      <c r="E259" s="12">
        <v>4644134</v>
      </c>
      <c r="F259" s="13">
        <v>475</v>
      </c>
      <c r="G259">
        <v>784</v>
      </c>
      <c r="H259" s="12">
        <v>1259</v>
      </c>
      <c r="I259" s="15">
        <f t="shared" ref="I259:I322" si="22">C259/E259</f>
        <v>0.85843508714434169</v>
      </c>
      <c r="J259" s="15">
        <f t="shared" ref="J259:J322" si="23">D259/E259</f>
        <v>0.14189801177140882</v>
      </c>
      <c r="K259" s="14">
        <f t="shared" si="20"/>
        <v>1.0227956385410067E-4</v>
      </c>
      <c r="L259" s="14">
        <f t="shared" si="21"/>
        <v>1.6881511170866302E-4</v>
      </c>
      <c r="M259" s="16">
        <f t="shared" ref="M259:M322" si="24">H259/E259</f>
        <v>2.7109467556276371E-4</v>
      </c>
    </row>
    <row r="260" spans="1:13" x14ac:dyDescent="0.3">
      <c r="A260" t="s">
        <v>10</v>
      </c>
      <c r="B260" s="12">
        <v>2009</v>
      </c>
      <c r="C260" s="20">
        <v>4007762.5310000004</v>
      </c>
      <c r="D260">
        <v>626542.17600000009</v>
      </c>
      <c r="E260" s="12">
        <v>4633360</v>
      </c>
      <c r="F260" s="13">
        <v>454</v>
      </c>
      <c r="G260">
        <v>723</v>
      </c>
      <c r="H260" s="12">
        <v>1177</v>
      </c>
      <c r="I260" s="15">
        <f t="shared" si="22"/>
        <v>0.864979740620198</v>
      </c>
      <c r="J260" s="15">
        <f t="shared" si="23"/>
        <v>0.13522415180344288</v>
      </c>
      <c r="K260" s="14">
        <f t="shared" si="20"/>
        <v>9.7985047568071557E-5</v>
      </c>
      <c r="L260" s="14">
        <f t="shared" si="21"/>
        <v>1.5604226738263376E-4</v>
      </c>
      <c r="M260" s="16">
        <f t="shared" si="24"/>
        <v>2.5402731495070531E-4</v>
      </c>
    </row>
    <row r="261" spans="1:13" x14ac:dyDescent="0.3">
      <c r="A261" t="s">
        <v>10</v>
      </c>
      <c r="B261" s="12">
        <v>2010</v>
      </c>
      <c r="C261" s="13">
        <v>4061256.6100000008</v>
      </c>
      <c r="D261">
        <v>633101.50099999993</v>
      </c>
      <c r="E261" s="12">
        <v>4690952</v>
      </c>
      <c r="F261" s="13">
        <v>461</v>
      </c>
      <c r="G261">
        <v>763</v>
      </c>
      <c r="H261" s="12">
        <v>1224</v>
      </c>
      <c r="I261" s="15">
        <f t="shared" si="22"/>
        <v>0.86576383855558547</v>
      </c>
      <c r="J261" s="15">
        <f t="shared" si="23"/>
        <v>0.13496226373665729</v>
      </c>
      <c r="K261" s="14">
        <f t="shared" si="20"/>
        <v>9.8274294855287363E-5</v>
      </c>
      <c r="L261" s="14">
        <f t="shared" si="21"/>
        <v>1.6265355092100707E-4</v>
      </c>
      <c r="M261" s="16">
        <f t="shared" si="24"/>
        <v>2.6092784577629442E-4</v>
      </c>
    </row>
    <row r="262" spans="1:13" x14ac:dyDescent="0.3">
      <c r="A262" t="s">
        <v>10</v>
      </c>
      <c r="B262" s="12">
        <v>2011</v>
      </c>
      <c r="C262" s="13">
        <v>4080310.5940000005</v>
      </c>
      <c r="D262">
        <v>644082.43099999987</v>
      </c>
      <c r="E262" s="12">
        <v>4724265</v>
      </c>
      <c r="F262" s="13">
        <v>444</v>
      </c>
      <c r="G262">
        <v>765</v>
      </c>
      <c r="H262" s="12">
        <v>1209</v>
      </c>
      <c r="I262" s="15">
        <f t="shared" si="22"/>
        <v>0.86369214978414643</v>
      </c>
      <c r="J262" s="15">
        <f t="shared" si="23"/>
        <v>0.13633494966941945</v>
      </c>
      <c r="K262" s="14">
        <f t="shared" si="20"/>
        <v>9.3982873526358068E-5</v>
      </c>
      <c r="L262" s="14">
        <f t="shared" si="21"/>
        <v>1.6192995100825208E-4</v>
      </c>
      <c r="M262" s="16">
        <f t="shared" si="24"/>
        <v>2.5591282453461014E-4</v>
      </c>
    </row>
    <row r="263" spans="1:13" x14ac:dyDescent="0.3">
      <c r="A263" t="s">
        <v>10</v>
      </c>
      <c r="B263" s="12">
        <v>2012</v>
      </c>
      <c r="C263" s="13">
        <v>4092739.176</v>
      </c>
      <c r="D263">
        <v>658126.88799999992</v>
      </c>
      <c r="E263" s="12">
        <v>4750975</v>
      </c>
      <c r="F263" s="13">
        <v>505</v>
      </c>
      <c r="G263">
        <v>756</v>
      </c>
      <c r="H263" s="12">
        <v>1261</v>
      </c>
      <c r="I263" s="15">
        <f t="shared" si="22"/>
        <v>0.86145247575497663</v>
      </c>
      <c r="J263" s="15">
        <f t="shared" si="23"/>
        <v>0.13852459505680412</v>
      </c>
      <c r="K263" s="14">
        <f t="shared" ref="K263:K326" si="25">F263/E263</f>
        <v>1.0629397123748283E-4</v>
      </c>
      <c r="L263" s="14">
        <f t="shared" si="21"/>
        <v>1.5912523218918222E-4</v>
      </c>
      <c r="M263" s="16">
        <f t="shared" si="24"/>
        <v>2.6541920342666503E-4</v>
      </c>
    </row>
    <row r="264" spans="1:13" x14ac:dyDescent="0.3">
      <c r="A264" t="s">
        <v>33</v>
      </c>
      <c r="B264" s="12">
        <v>2017</v>
      </c>
      <c r="C264" s="13">
        <v>4225209</v>
      </c>
      <c r="D264">
        <v>702765</v>
      </c>
      <c r="E264" s="12">
        <v>4927974</v>
      </c>
      <c r="F264" s="13">
        <v>461</v>
      </c>
      <c r="G264">
        <v>549</v>
      </c>
      <c r="H264" s="12">
        <v>1010</v>
      </c>
      <c r="I264" s="15">
        <f t="shared" si="22"/>
        <v>0.8573927135167515</v>
      </c>
      <c r="J264" s="15">
        <f t="shared" si="23"/>
        <v>0.1426072864832485</v>
      </c>
      <c r="K264" s="14">
        <f t="shared" si="25"/>
        <v>9.3547571476635224E-5</v>
      </c>
      <c r="L264" s="14">
        <f t="shared" ref="L264:L327" si="26">G264/E264</f>
        <v>1.1140480854809705E-4</v>
      </c>
      <c r="M264" s="16">
        <f t="shared" si="24"/>
        <v>2.0495238002473228E-4</v>
      </c>
    </row>
    <row r="265" spans="1:13" x14ac:dyDescent="0.3">
      <c r="A265" t="s">
        <v>15</v>
      </c>
      <c r="B265" s="12">
        <v>2010</v>
      </c>
      <c r="C265" s="13">
        <v>4335896.9750000006</v>
      </c>
      <c r="D265">
        <v>509508.34799999988</v>
      </c>
      <c r="E265" s="12">
        <v>4846647</v>
      </c>
      <c r="F265" s="13">
        <v>459</v>
      </c>
      <c r="G265">
        <v>461</v>
      </c>
      <c r="H265" s="12">
        <v>920</v>
      </c>
      <c r="I265" s="15">
        <f t="shared" si="22"/>
        <v>0.89461786158554579</v>
      </c>
      <c r="J265" s="15">
        <f t="shared" si="23"/>
        <v>0.10512594542164921</v>
      </c>
      <c r="K265" s="14">
        <f t="shared" si="25"/>
        <v>9.4704648388875854E-5</v>
      </c>
      <c r="L265" s="14">
        <f t="shared" si="26"/>
        <v>9.5117304808870951E-5</v>
      </c>
      <c r="M265" s="16">
        <f t="shared" si="24"/>
        <v>1.8982195319774682E-4</v>
      </c>
    </row>
    <row r="266" spans="1:13" x14ac:dyDescent="0.3">
      <c r="A266" t="s">
        <v>15</v>
      </c>
      <c r="B266" s="12">
        <v>2009</v>
      </c>
      <c r="C266" s="13">
        <v>4342260.5750000011</v>
      </c>
      <c r="D266">
        <v>496615.05099999998</v>
      </c>
      <c r="E266" s="12">
        <v>4843211</v>
      </c>
      <c r="F266" s="13">
        <v>482</v>
      </c>
      <c r="G266">
        <v>467</v>
      </c>
      <c r="H266" s="12">
        <v>949</v>
      </c>
      <c r="I266" s="15">
        <f t="shared" si="22"/>
        <v>0.89656646695756204</v>
      </c>
      <c r="J266" s="15">
        <f t="shared" si="23"/>
        <v>0.1025383884782224</v>
      </c>
      <c r="K266" s="14">
        <f t="shared" si="25"/>
        <v>9.9520751831790939E-5</v>
      </c>
      <c r="L266" s="14">
        <f t="shared" si="26"/>
        <v>9.6423632998851382E-5</v>
      </c>
      <c r="M266" s="16">
        <f t="shared" si="24"/>
        <v>1.9594438483064232E-4</v>
      </c>
    </row>
    <row r="267" spans="1:13" x14ac:dyDescent="0.3">
      <c r="A267" t="s">
        <v>15</v>
      </c>
      <c r="B267" s="12">
        <v>2012</v>
      </c>
      <c r="C267" s="13">
        <v>4374601.2889999999</v>
      </c>
      <c r="D267">
        <v>544964.19100000011</v>
      </c>
      <c r="E267" s="12">
        <v>4918239</v>
      </c>
      <c r="F267" s="13">
        <v>396</v>
      </c>
      <c r="G267">
        <v>420</v>
      </c>
      <c r="H267" s="12">
        <v>816</v>
      </c>
      <c r="I267" s="15">
        <f t="shared" si="22"/>
        <v>0.88946496683060738</v>
      </c>
      <c r="J267" s="15">
        <f t="shared" si="23"/>
        <v>0.11080473946060777</v>
      </c>
      <c r="K267" s="14">
        <f t="shared" si="25"/>
        <v>8.0516623937958279E-5</v>
      </c>
      <c r="L267" s="14">
        <f t="shared" si="26"/>
        <v>8.5396419328137568E-5</v>
      </c>
      <c r="M267" s="16">
        <f t="shared" si="24"/>
        <v>1.6591304326609585E-4</v>
      </c>
    </row>
    <row r="268" spans="1:13" x14ac:dyDescent="0.3">
      <c r="A268" t="s">
        <v>33</v>
      </c>
      <c r="B268" s="12">
        <v>2012</v>
      </c>
      <c r="C268" s="13">
        <v>4397739.4610000001</v>
      </c>
      <c r="D268">
        <v>633021.27599999995</v>
      </c>
      <c r="E268" s="12">
        <v>5032187</v>
      </c>
      <c r="F268" s="13">
        <v>419</v>
      </c>
      <c r="G268">
        <v>582</v>
      </c>
      <c r="H268" s="12">
        <v>1001</v>
      </c>
      <c r="I268" s="15">
        <f t="shared" si="22"/>
        <v>0.87392210603461284</v>
      </c>
      <c r="J268" s="15">
        <f t="shared" si="23"/>
        <v>0.12579446590518198</v>
      </c>
      <c r="K268" s="14">
        <f t="shared" si="25"/>
        <v>8.3263996349897178E-5</v>
      </c>
      <c r="L268" s="14">
        <f t="shared" si="26"/>
        <v>1.1565547941680228E-4</v>
      </c>
      <c r="M268" s="16">
        <f t="shared" si="24"/>
        <v>1.9891947576669946E-4</v>
      </c>
    </row>
    <row r="269" spans="1:13" x14ac:dyDescent="0.3">
      <c r="A269" t="s">
        <v>15</v>
      </c>
      <c r="B269" s="12">
        <v>2011</v>
      </c>
      <c r="C269" s="13">
        <v>4409041.4569999995</v>
      </c>
      <c r="D269">
        <v>530042.08699999994</v>
      </c>
      <c r="E269" s="12">
        <v>4941571</v>
      </c>
      <c r="F269" s="13">
        <v>441</v>
      </c>
      <c r="G269">
        <v>465</v>
      </c>
      <c r="H269" s="12">
        <v>906</v>
      </c>
      <c r="I269" s="15">
        <f t="shared" si="22"/>
        <v>0.89223476845723748</v>
      </c>
      <c r="J269" s="15">
        <f t="shared" si="23"/>
        <v>0.10726185802045543</v>
      </c>
      <c r="K269" s="14">
        <f t="shared" si="25"/>
        <v>8.9242874381446706E-5</v>
      </c>
      <c r="L269" s="14">
        <f t="shared" si="26"/>
        <v>9.4099629449824763E-5</v>
      </c>
      <c r="M269" s="16">
        <f t="shared" si="24"/>
        <v>1.8334250383127148E-4</v>
      </c>
    </row>
    <row r="270" spans="1:13" x14ac:dyDescent="0.3">
      <c r="A270" t="s">
        <v>33</v>
      </c>
      <c r="B270" s="12">
        <v>2011</v>
      </c>
      <c r="C270" s="13">
        <v>4422373.1720000003</v>
      </c>
      <c r="D270">
        <v>629019.29100000008</v>
      </c>
      <c r="E270" s="12">
        <v>5049930</v>
      </c>
      <c r="F270" s="13">
        <v>428</v>
      </c>
      <c r="G270">
        <v>582</v>
      </c>
      <c r="H270" s="12">
        <v>1010</v>
      </c>
      <c r="I270" s="15">
        <f t="shared" si="22"/>
        <v>0.87572959862809985</v>
      </c>
      <c r="J270" s="15">
        <f t="shared" si="23"/>
        <v>0.12456000201982999</v>
      </c>
      <c r="K270" s="14">
        <f t="shared" si="25"/>
        <v>8.4753650050594767E-5</v>
      </c>
      <c r="L270" s="14">
        <f t="shared" si="26"/>
        <v>1.1524912226506111E-4</v>
      </c>
      <c r="M270" s="16">
        <f t="shared" si="24"/>
        <v>2.0000277231565586E-4</v>
      </c>
    </row>
    <row r="271" spans="1:13" x14ac:dyDescent="0.3">
      <c r="A271" t="s">
        <v>33</v>
      </c>
      <c r="B271" s="12">
        <v>2015</v>
      </c>
      <c r="C271" s="13">
        <v>4446516.42</v>
      </c>
      <c r="D271">
        <v>704357.04099999985</v>
      </c>
      <c r="E271" s="12">
        <v>5152678</v>
      </c>
      <c r="F271" s="13">
        <v>478</v>
      </c>
      <c r="G271">
        <v>635</v>
      </c>
      <c r="H271" s="12">
        <v>1113</v>
      </c>
      <c r="I271" s="15">
        <f t="shared" si="22"/>
        <v>0.86295251129606776</v>
      </c>
      <c r="J271" s="15">
        <f t="shared" si="23"/>
        <v>0.13669727489278388</v>
      </c>
      <c r="K271" s="14">
        <f t="shared" si="25"/>
        <v>9.2767294987189191E-5</v>
      </c>
      <c r="L271" s="14">
        <f t="shared" si="26"/>
        <v>1.2323688769218648E-4</v>
      </c>
      <c r="M271" s="16">
        <f t="shared" si="24"/>
        <v>2.1600418267937567E-4</v>
      </c>
    </row>
    <row r="272" spans="1:13" x14ac:dyDescent="0.3">
      <c r="A272" t="s">
        <v>15</v>
      </c>
      <c r="B272" s="12">
        <v>2014</v>
      </c>
      <c r="C272" s="13">
        <v>4447638.949000001</v>
      </c>
      <c r="D272">
        <v>591037.31799999997</v>
      </c>
      <c r="E272" s="12">
        <v>5040592</v>
      </c>
      <c r="F272" s="13">
        <v>458</v>
      </c>
      <c r="G272">
        <v>481</v>
      </c>
      <c r="H272" s="12">
        <v>939</v>
      </c>
      <c r="I272" s="15">
        <f t="shared" si="22"/>
        <v>0.88236440263365912</v>
      </c>
      <c r="J272" s="15">
        <f t="shared" si="23"/>
        <v>0.11725553625447169</v>
      </c>
      <c r="K272" s="14">
        <f t="shared" si="25"/>
        <v>9.0862343153343887E-5</v>
      </c>
      <c r="L272" s="14">
        <f t="shared" si="26"/>
        <v>9.5425299250564218E-5</v>
      </c>
      <c r="M272" s="16">
        <f t="shared" si="24"/>
        <v>1.862876424039081E-4</v>
      </c>
    </row>
    <row r="273" spans="1:13" x14ac:dyDescent="0.3">
      <c r="A273" t="s">
        <v>33</v>
      </c>
      <c r="B273" s="12">
        <v>2016</v>
      </c>
      <c r="C273" s="13">
        <v>4461170.942999999</v>
      </c>
      <c r="D273">
        <v>733677.36399999983</v>
      </c>
      <c r="E273" s="12">
        <v>5195638</v>
      </c>
      <c r="F273" s="13">
        <v>420</v>
      </c>
      <c r="G273">
        <v>430</v>
      </c>
      <c r="H273" s="12">
        <v>850</v>
      </c>
      <c r="I273" s="15">
        <f t="shared" si="22"/>
        <v>0.85863775401596476</v>
      </c>
      <c r="J273" s="15">
        <f t="shared" si="23"/>
        <v>0.14121025444805813</v>
      </c>
      <c r="K273" s="14">
        <f t="shared" si="25"/>
        <v>8.083704060983464E-5</v>
      </c>
      <c r="L273" s="14">
        <f t="shared" si="26"/>
        <v>8.276173205292593E-5</v>
      </c>
      <c r="M273" s="16">
        <f t="shared" si="24"/>
        <v>1.6359877266276056E-4</v>
      </c>
    </row>
    <row r="274" spans="1:13" x14ac:dyDescent="0.3">
      <c r="A274" t="s">
        <v>33</v>
      </c>
      <c r="B274" s="12">
        <v>2013</v>
      </c>
      <c r="C274" s="13">
        <v>4468478.0240000002</v>
      </c>
      <c r="D274">
        <v>724180.80300000007</v>
      </c>
      <c r="E274" s="12">
        <v>5190792</v>
      </c>
      <c r="F274" s="13">
        <v>462</v>
      </c>
      <c r="G274">
        <v>636</v>
      </c>
      <c r="H274" s="12">
        <v>1098</v>
      </c>
      <c r="I274" s="15">
        <f t="shared" si="22"/>
        <v>0.86084705840650144</v>
      </c>
      <c r="J274" s="15">
        <f t="shared" si="23"/>
        <v>0.13951258362885666</v>
      </c>
      <c r="K274" s="14">
        <f t="shared" si="25"/>
        <v>8.9003758963950011E-5</v>
      </c>
      <c r="L274" s="14">
        <f t="shared" si="26"/>
        <v>1.2252465519712599E-4</v>
      </c>
      <c r="M274" s="16">
        <f t="shared" si="24"/>
        <v>2.1152841416107601E-4</v>
      </c>
    </row>
    <row r="275" spans="1:13" x14ac:dyDescent="0.3">
      <c r="A275" t="s">
        <v>33</v>
      </c>
      <c r="B275" s="12">
        <v>2014</v>
      </c>
      <c r="C275" s="13">
        <v>4481090.7209999999</v>
      </c>
      <c r="D275">
        <v>686069.95200000005</v>
      </c>
      <c r="E275" s="12">
        <v>5166404</v>
      </c>
      <c r="F275" s="13">
        <v>459</v>
      </c>
      <c r="G275">
        <v>521</v>
      </c>
      <c r="H275" s="12">
        <v>980</v>
      </c>
      <c r="I275" s="15">
        <f t="shared" si="22"/>
        <v>0.86735197653919438</v>
      </c>
      <c r="J275" s="15">
        <f t="shared" si="23"/>
        <v>0.1327944837453672</v>
      </c>
      <c r="K275" s="14">
        <f t="shared" si="25"/>
        <v>8.8843226352410695E-5</v>
      </c>
      <c r="L275" s="14">
        <f t="shared" si="26"/>
        <v>1.0084383644794329E-4</v>
      </c>
      <c r="M275" s="16">
        <f t="shared" si="24"/>
        <v>1.8968706280035399E-4</v>
      </c>
    </row>
    <row r="276" spans="1:13" x14ac:dyDescent="0.3">
      <c r="A276" t="s">
        <v>15</v>
      </c>
      <c r="B276" s="12">
        <v>2013</v>
      </c>
      <c r="C276" s="13">
        <v>4488604.1869999999</v>
      </c>
      <c r="D276">
        <v>576951.60800000001</v>
      </c>
      <c r="E276" s="12">
        <v>5066830</v>
      </c>
      <c r="F276" s="13">
        <v>522</v>
      </c>
      <c r="G276">
        <v>449</v>
      </c>
      <c r="H276" s="12">
        <v>971</v>
      </c>
      <c r="I276" s="15">
        <f t="shared" si="22"/>
        <v>0.88588016313947771</v>
      </c>
      <c r="J276" s="15">
        <f t="shared" si="23"/>
        <v>0.11386835713848699</v>
      </c>
      <c r="K276" s="14">
        <f t="shared" si="25"/>
        <v>1.0302299465346183E-4</v>
      </c>
      <c r="L276" s="14">
        <f t="shared" si="26"/>
        <v>8.861556436667502E-5</v>
      </c>
      <c r="M276" s="16">
        <f t="shared" si="24"/>
        <v>1.9163855902013685E-4</v>
      </c>
    </row>
    <row r="277" spans="1:13" x14ac:dyDescent="0.3">
      <c r="A277" t="s">
        <v>33</v>
      </c>
      <c r="B277" s="12">
        <v>2009</v>
      </c>
      <c r="C277" s="13">
        <v>4531297.5350000001</v>
      </c>
      <c r="D277">
        <v>639914.57999999996</v>
      </c>
      <c r="E277" s="12">
        <v>5168946</v>
      </c>
      <c r="F277" s="13">
        <v>424</v>
      </c>
      <c r="G277">
        <v>511</v>
      </c>
      <c r="H277" s="12">
        <v>935</v>
      </c>
      <c r="I277" s="15">
        <f t="shared" si="22"/>
        <v>0.87663859034317637</v>
      </c>
      <c r="J277" s="15">
        <f t="shared" si="23"/>
        <v>0.12379981915075142</v>
      </c>
      <c r="K277" s="14">
        <f t="shared" si="25"/>
        <v>8.2028328405829733E-5</v>
      </c>
      <c r="L277" s="14">
        <f t="shared" si="26"/>
        <v>9.8859612772120273E-5</v>
      </c>
      <c r="M277" s="16">
        <f t="shared" si="24"/>
        <v>1.8088794117795002E-4</v>
      </c>
    </row>
    <row r="278" spans="1:13" x14ac:dyDescent="0.3">
      <c r="A278" t="s">
        <v>15</v>
      </c>
      <c r="B278" s="12">
        <v>2015</v>
      </c>
      <c r="C278" s="13">
        <v>4537589.8250000002</v>
      </c>
      <c r="D278">
        <v>624871.98100000003</v>
      </c>
      <c r="E278" s="12">
        <v>5162330</v>
      </c>
      <c r="F278" s="13">
        <v>460</v>
      </c>
      <c r="G278">
        <v>535</v>
      </c>
      <c r="H278" s="12">
        <v>995</v>
      </c>
      <c r="I278" s="15">
        <f t="shared" si="22"/>
        <v>0.87898096886483434</v>
      </c>
      <c r="J278" s="15">
        <f t="shared" si="23"/>
        <v>0.12104456340450921</v>
      </c>
      <c r="K278" s="14">
        <f t="shared" si="25"/>
        <v>8.9107050498515199E-5</v>
      </c>
      <c r="L278" s="14">
        <f t="shared" si="26"/>
        <v>1.0363537394936008E-4</v>
      </c>
      <c r="M278" s="16">
        <f t="shared" si="24"/>
        <v>1.9274242444787529E-4</v>
      </c>
    </row>
    <row r="279" spans="1:13" x14ac:dyDescent="0.3">
      <c r="A279" t="s">
        <v>15</v>
      </c>
      <c r="B279" s="12">
        <v>2017</v>
      </c>
      <c r="C279" s="13">
        <v>4564872</v>
      </c>
      <c r="D279">
        <v>708245</v>
      </c>
      <c r="E279" s="12">
        <v>5273117</v>
      </c>
      <c r="F279" s="13">
        <v>407</v>
      </c>
      <c r="G279">
        <v>432</v>
      </c>
      <c r="H279" s="12">
        <v>839</v>
      </c>
      <c r="I279" s="15">
        <f t="shared" si="22"/>
        <v>0.86568759995274147</v>
      </c>
      <c r="J279" s="15">
        <f t="shared" si="23"/>
        <v>0.13431240004725858</v>
      </c>
      <c r="K279" s="14">
        <f t="shared" si="25"/>
        <v>7.7183950213886778E-5</v>
      </c>
      <c r="L279" s="14">
        <f t="shared" si="26"/>
        <v>8.1924979096803657E-5</v>
      </c>
      <c r="M279" s="16">
        <f t="shared" si="24"/>
        <v>1.5910892931069042E-4</v>
      </c>
    </row>
    <row r="280" spans="1:13" x14ac:dyDescent="0.3">
      <c r="A280" t="s">
        <v>15</v>
      </c>
      <c r="B280" s="12">
        <v>2016</v>
      </c>
      <c r="C280" s="13">
        <v>4569125.7139999997</v>
      </c>
      <c r="D280">
        <v>657373.85000000009</v>
      </c>
      <c r="E280" s="12">
        <v>5226520</v>
      </c>
      <c r="F280" s="13">
        <v>439</v>
      </c>
      <c r="G280">
        <v>385</v>
      </c>
      <c r="H280" s="12">
        <v>824</v>
      </c>
      <c r="I280" s="15">
        <f t="shared" si="22"/>
        <v>0.87421950246052815</v>
      </c>
      <c r="J280" s="15">
        <f t="shared" si="23"/>
        <v>0.12577658748077117</v>
      </c>
      <c r="K280" s="14">
        <f t="shared" si="25"/>
        <v>8.3994703933018534E-5</v>
      </c>
      <c r="L280" s="14">
        <f t="shared" si="26"/>
        <v>7.3662781353558393E-5</v>
      </c>
      <c r="M280" s="16">
        <f t="shared" si="24"/>
        <v>1.5765748528657691E-4</v>
      </c>
    </row>
    <row r="281" spans="1:13" x14ac:dyDescent="0.3">
      <c r="A281" t="s">
        <v>33</v>
      </c>
      <c r="B281" s="12">
        <v>2010</v>
      </c>
      <c r="C281" s="13">
        <v>4575469.3540000003</v>
      </c>
      <c r="D281">
        <v>653204.97400000005</v>
      </c>
      <c r="E281" s="12">
        <v>5228413</v>
      </c>
      <c r="F281" s="13">
        <v>435</v>
      </c>
      <c r="G281">
        <v>552</v>
      </c>
      <c r="H281" s="12">
        <v>987</v>
      </c>
      <c r="I281" s="15">
        <f t="shared" si="22"/>
        <v>0.87511628366007055</v>
      </c>
      <c r="J281" s="15">
        <f t="shared" si="23"/>
        <v>0.12493369861944725</v>
      </c>
      <c r="K281" s="14">
        <f t="shared" si="25"/>
        <v>8.3199242293980981E-5</v>
      </c>
      <c r="L281" s="14">
        <f t="shared" si="26"/>
        <v>1.0557696953167243E-4</v>
      </c>
      <c r="M281" s="16">
        <f t="shared" si="24"/>
        <v>1.8877621182565341E-4</v>
      </c>
    </row>
    <row r="282" spans="1:13" x14ac:dyDescent="0.3">
      <c r="A282" t="s">
        <v>59</v>
      </c>
      <c r="B282" s="12">
        <v>2017</v>
      </c>
      <c r="C282" s="13">
        <v>4613170</v>
      </c>
      <c r="D282">
        <v>833101</v>
      </c>
      <c r="E282" s="12">
        <v>5446271</v>
      </c>
      <c r="F282" s="13">
        <v>432</v>
      </c>
      <c r="G282">
        <v>830</v>
      </c>
      <c r="H282" s="12">
        <v>1262</v>
      </c>
      <c r="I282" s="15">
        <f t="shared" si="22"/>
        <v>0.84703276792506288</v>
      </c>
      <c r="J282" s="15">
        <f t="shared" si="23"/>
        <v>0.15296723207493715</v>
      </c>
      <c r="K282" s="14">
        <f t="shared" si="25"/>
        <v>7.932032761498647E-5</v>
      </c>
      <c r="L282" s="14">
        <f t="shared" si="26"/>
        <v>1.5239785166768234E-4</v>
      </c>
      <c r="M282" s="16">
        <f t="shared" si="24"/>
        <v>2.3171817928266882E-4</v>
      </c>
    </row>
    <row r="283" spans="1:13" x14ac:dyDescent="0.3">
      <c r="A283" t="s">
        <v>59</v>
      </c>
      <c r="B283" s="12">
        <v>2016</v>
      </c>
      <c r="C283" s="13">
        <v>4632102.9300000006</v>
      </c>
      <c r="D283">
        <v>805470.17799999996</v>
      </c>
      <c r="E283" s="12">
        <v>5438601</v>
      </c>
      <c r="F283" s="13">
        <v>475</v>
      </c>
      <c r="G283">
        <v>720</v>
      </c>
      <c r="H283" s="12">
        <v>1195</v>
      </c>
      <c r="I283" s="15">
        <f t="shared" si="22"/>
        <v>0.85170854232549886</v>
      </c>
      <c r="J283" s="15">
        <f t="shared" si="23"/>
        <v>0.14810245833441357</v>
      </c>
      <c r="K283" s="14">
        <f t="shared" si="25"/>
        <v>8.7338637270871676E-5</v>
      </c>
      <c r="L283" s="14">
        <f t="shared" si="26"/>
        <v>1.3238698702111075E-4</v>
      </c>
      <c r="M283" s="16">
        <f t="shared" si="24"/>
        <v>2.1972562429198244E-4</v>
      </c>
    </row>
    <row r="284" spans="1:13" x14ac:dyDescent="0.3">
      <c r="A284" t="s">
        <v>59</v>
      </c>
      <c r="B284" s="12">
        <v>2015</v>
      </c>
      <c r="C284" s="13">
        <v>4640191.9590000007</v>
      </c>
      <c r="D284">
        <v>786456.69399999978</v>
      </c>
      <c r="E284" s="12">
        <v>5424246</v>
      </c>
      <c r="F284" s="13">
        <v>408</v>
      </c>
      <c r="G284">
        <v>928</v>
      </c>
      <c r="H284" s="12">
        <v>1336</v>
      </c>
      <c r="I284" s="15">
        <f t="shared" si="22"/>
        <v>0.85545381957234257</v>
      </c>
      <c r="J284" s="15">
        <f t="shared" si="23"/>
        <v>0.14498912733677635</v>
      </c>
      <c r="K284" s="14">
        <f t="shared" si="25"/>
        <v>7.5217827510035492E-5</v>
      </c>
      <c r="L284" s="14">
        <f t="shared" si="26"/>
        <v>1.710836861012572E-4</v>
      </c>
      <c r="M284" s="16">
        <f t="shared" si="24"/>
        <v>2.463015136112927E-4</v>
      </c>
    </row>
    <row r="285" spans="1:13" x14ac:dyDescent="0.3">
      <c r="A285" t="s">
        <v>59</v>
      </c>
      <c r="B285" s="12">
        <v>2011</v>
      </c>
      <c r="C285" s="13">
        <v>4700528.517</v>
      </c>
      <c r="D285">
        <v>729900.58600000013</v>
      </c>
      <c r="E285" s="12">
        <v>5429850</v>
      </c>
      <c r="F285" s="13">
        <v>394</v>
      </c>
      <c r="G285">
        <v>843</v>
      </c>
      <c r="H285" s="12">
        <v>1237</v>
      </c>
      <c r="I285" s="15">
        <f t="shared" si="22"/>
        <v>0.86568294096522003</v>
      </c>
      <c r="J285" s="15">
        <f t="shared" si="23"/>
        <v>0.1344237107839075</v>
      </c>
      <c r="K285" s="14">
        <f t="shared" si="25"/>
        <v>7.2561857141541662E-5</v>
      </c>
      <c r="L285" s="14">
        <f t="shared" si="26"/>
        <v>1.552529075388823E-4</v>
      </c>
      <c r="M285" s="16">
        <f t="shared" si="24"/>
        <v>2.2781476468042395E-4</v>
      </c>
    </row>
    <row r="286" spans="1:13" x14ac:dyDescent="0.3">
      <c r="A286" t="s">
        <v>35</v>
      </c>
      <c r="B286" s="12">
        <v>2017</v>
      </c>
      <c r="C286" s="13">
        <v>4715641</v>
      </c>
      <c r="D286">
        <v>852935</v>
      </c>
      <c r="E286" s="12">
        <v>5568576</v>
      </c>
      <c r="F286" s="13">
        <v>408</v>
      </c>
      <c r="G286">
        <v>1106</v>
      </c>
      <c r="H286" s="12">
        <v>1514</v>
      </c>
      <c r="I286" s="15">
        <f t="shared" si="22"/>
        <v>0.84683067987219718</v>
      </c>
      <c r="J286" s="15">
        <f t="shared" si="23"/>
        <v>0.15316932012780288</v>
      </c>
      <c r="K286" s="14">
        <f t="shared" si="25"/>
        <v>7.3268282591456058E-5</v>
      </c>
      <c r="L286" s="14">
        <f t="shared" si="26"/>
        <v>1.9861451114252547E-4</v>
      </c>
      <c r="M286" s="16">
        <f t="shared" si="24"/>
        <v>2.7188279373398152E-4</v>
      </c>
    </row>
    <row r="287" spans="1:13" x14ac:dyDescent="0.3">
      <c r="A287" t="s">
        <v>59</v>
      </c>
      <c r="B287" s="12">
        <v>2013</v>
      </c>
      <c r="C287" s="13">
        <v>4734668.34</v>
      </c>
      <c r="D287">
        <v>760853.71500000008</v>
      </c>
      <c r="E287" s="12">
        <v>5493840</v>
      </c>
      <c r="F287" s="13">
        <v>423</v>
      </c>
      <c r="G287">
        <v>973</v>
      </c>
      <c r="H287" s="12">
        <v>1396</v>
      </c>
      <c r="I287" s="15">
        <f t="shared" si="22"/>
        <v>0.86181402079419855</v>
      </c>
      <c r="J287" s="15">
        <f t="shared" si="23"/>
        <v>0.13849215029924425</v>
      </c>
      <c r="K287" s="14">
        <f t="shared" si="25"/>
        <v>7.6995325673845616E-5</v>
      </c>
      <c r="L287" s="14">
        <f t="shared" si="26"/>
        <v>1.7710745125449595E-4</v>
      </c>
      <c r="M287" s="16">
        <f t="shared" si="24"/>
        <v>2.5410277692834157E-4</v>
      </c>
    </row>
    <row r="288" spans="1:13" x14ac:dyDescent="0.3">
      <c r="A288" t="s">
        <v>59</v>
      </c>
      <c r="B288" s="12">
        <v>2014</v>
      </c>
      <c r="C288" s="13">
        <v>4761628.6029999992</v>
      </c>
      <c r="D288">
        <v>788828.48300000001</v>
      </c>
      <c r="E288" s="12">
        <v>5548729</v>
      </c>
      <c r="F288" s="13">
        <v>490</v>
      </c>
      <c r="G288">
        <v>827</v>
      </c>
      <c r="H288" s="12">
        <v>1317</v>
      </c>
      <c r="I288" s="15">
        <f t="shared" si="22"/>
        <v>0.85814762317640658</v>
      </c>
      <c r="J288" s="15">
        <f t="shared" si="23"/>
        <v>0.1421638149925866</v>
      </c>
      <c r="K288" s="14">
        <f t="shared" si="25"/>
        <v>8.8308511733047331E-5</v>
      </c>
      <c r="L288" s="14">
        <f t="shared" si="26"/>
        <v>1.4904314123108194E-4</v>
      </c>
      <c r="M288" s="16">
        <f t="shared" si="24"/>
        <v>2.3735165296412926E-4</v>
      </c>
    </row>
    <row r="289" spans="1:13" x14ac:dyDescent="0.3">
      <c r="A289" t="s">
        <v>35</v>
      </c>
      <c r="B289" s="12">
        <v>2015</v>
      </c>
      <c r="C289" s="13">
        <v>4767425.358</v>
      </c>
      <c r="D289">
        <v>817059.43</v>
      </c>
      <c r="E289" s="12">
        <v>5583743</v>
      </c>
      <c r="F289" s="13">
        <v>481</v>
      </c>
      <c r="G289">
        <v>1153</v>
      </c>
      <c r="H289" s="12">
        <v>1634</v>
      </c>
      <c r="I289" s="15">
        <f t="shared" si="22"/>
        <v>0.85380458198022369</v>
      </c>
      <c r="J289" s="15">
        <f t="shared" si="23"/>
        <v>0.14632826582455533</v>
      </c>
      <c r="K289" s="14">
        <f t="shared" si="25"/>
        <v>8.6142933154337509E-5</v>
      </c>
      <c r="L289" s="14">
        <f t="shared" si="26"/>
        <v>2.0649231169844314E-4</v>
      </c>
      <c r="M289" s="16">
        <f t="shared" si="24"/>
        <v>2.9263524485278065E-4</v>
      </c>
    </row>
    <row r="290" spans="1:13" x14ac:dyDescent="0.3">
      <c r="A290" t="s">
        <v>35</v>
      </c>
      <c r="B290" s="12">
        <v>2013</v>
      </c>
      <c r="C290" s="13">
        <v>4776528.5520000001</v>
      </c>
      <c r="D290">
        <v>783191.95</v>
      </c>
      <c r="E290" s="12">
        <v>5560104</v>
      </c>
      <c r="F290" s="13">
        <v>440</v>
      </c>
      <c r="G290">
        <v>1138</v>
      </c>
      <c r="H290" s="12">
        <v>1578</v>
      </c>
      <c r="I290" s="15">
        <f t="shared" si="22"/>
        <v>0.85907180009582562</v>
      </c>
      <c r="J290" s="15">
        <f t="shared" si="23"/>
        <v>0.14085922673388843</v>
      </c>
      <c r="K290" s="14">
        <f t="shared" si="25"/>
        <v>7.9135210420524504E-5</v>
      </c>
      <c r="L290" s="14">
        <f t="shared" si="26"/>
        <v>2.0467243058762931E-4</v>
      </c>
      <c r="M290" s="16">
        <f t="shared" si="24"/>
        <v>2.838076410081538E-4</v>
      </c>
    </row>
    <row r="291" spans="1:13" x14ac:dyDescent="0.3">
      <c r="A291" t="s">
        <v>59</v>
      </c>
      <c r="B291" s="12">
        <v>2012</v>
      </c>
      <c r="C291" s="13">
        <v>4789009.0369999986</v>
      </c>
      <c r="D291">
        <v>759062.84799999988</v>
      </c>
      <c r="E291" s="12">
        <v>5549948</v>
      </c>
      <c r="F291" s="13">
        <v>458</v>
      </c>
      <c r="G291">
        <v>900</v>
      </c>
      <c r="H291" s="12">
        <v>1358</v>
      </c>
      <c r="I291" s="15">
        <f t="shared" si="22"/>
        <v>0.86289259593062828</v>
      </c>
      <c r="J291" s="15">
        <f t="shared" si="23"/>
        <v>0.13676936216339322</v>
      </c>
      <c r="K291" s="14">
        <f t="shared" si="25"/>
        <v>8.2523295713761647E-5</v>
      </c>
      <c r="L291" s="14">
        <f t="shared" si="26"/>
        <v>1.6216368153359274E-4</v>
      </c>
      <c r="M291" s="16">
        <f t="shared" si="24"/>
        <v>2.4468697724735436E-4</v>
      </c>
    </row>
    <row r="292" spans="1:13" x14ac:dyDescent="0.3">
      <c r="A292" t="s">
        <v>59</v>
      </c>
      <c r="B292" s="12">
        <v>2010</v>
      </c>
      <c r="C292" s="13">
        <v>4791713.7550000008</v>
      </c>
      <c r="D292">
        <v>735473.98900000006</v>
      </c>
      <c r="E292" s="12">
        <v>5526493</v>
      </c>
      <c r="F292" s="13">
        <v>428</v>
      </c>
      <c r="G292">
        <v>776</v>
      </c>
      <c r="H292" s="12">
        <v>1204</v>
      </c>
      <c r="I292" s="15">
        <f t="shared" si="22"/>
        <v>0.86704420959186967</v>
      </c>
      <c r="J292" s="15">
        <f t="shared" si="23"/>
        <v>0.13308150195793247</v>
      </c>
      <c r="K292" s="14">
        <f t="shared" si="25"/>
        <v>7.7445135640269512E-5</v>
      </c>
      <c r="L292" s="14">
        <f t="shared" si="26"/>
        <v>1.4041454499263818E-4</v>
      </c>
      <c r="M292" s="16">
        <f t="shared" si="24"/>
        <v>2.1785968063290772E-4</v>
      </c>
    </row>
    <row r="293" spans="1:13" x14ac:dyDescent="0.3">
      <c r="A293" t="s">
        <v>59</v>
      </c>
      <c r="B293" s="12">
        <v>2009</v>
      </c>
      <c r="C293" s="13">
        <v>4861613.8309999993</v>
      </c>
      <c r="D293">
        <v>739565.81500000006</v>
      </c>
      <c r="E293" s="12">
        <v>5599420</v>
      </c>
      <c r="F293" s="13">
        <v>423</v>
      </c>
      <c r="G293">
        <v>828</v>
      </c>
      <c r="H293" s="12">
        <v>1251</v>
      </c>
      <c r="I293" s="15">
        <f t="shared" si="22"/>
        <v>0.86823525132960189</v>
      </c>
      <c r="J293" s="15">
        <f t="shared" si="23"/>
        <v>0.13207900371824224</v>
      </c>
      <c r="K293" s="14">
        <f t="shared" si="25"/>
        <v>7.5543538437909647E-5</v>
      </c>
      <c r="L293" s="14">
        <f t="shared" si="26"/>
        <v>1.4787245821888694E-4</v>
      </c>
      <c r="M293" s="16">
        <f t="shared" si="24"/>
        <v>2.2341599665679659E-4</v>
      </c>
    </row>
    <row r="294" spans="1:13" x14ac:dyDescent="0.3">
      <c r="A294" t="s">
        <v>35</v>
      </c>
      <c r="B294" s="12">
        <v>2016</v>
      </c>
      <c r="C294" s="13">
        <v>4899941.8020000001</v>
      </c>
      <c r="D294">
        <v>877110.41499999992</v>
      </c>
      <c r="E294" s="12">
        <v>5777156</v>
      </c>
      <c r="F294" s="13">
        <v>493</v>
      </c>
      <c r="G294">
        <v>956</v>
      </c>
      <c r="H294" s="12">
        <v>1449</v>
      </c>
      <c r="I294" s="15">
        <f t="shared" si="22"/>
        <v>0.8481581252090129</v>
      </c>
      <c r="J294" s="15">
        <f t="shared" si="23"/>
        <v>0.15182391041543622</v>
      </c>
      <c r="K294" s="14">
        <f t="shared" si="25"/>
        <v>8.5336106554851555E-5</v>
      </c>
      <c r="L294" s="14">
        <f t="shared" si="26"/>
        <v>1.6547934658506713E-4</v>
      </c>
      <c r="M294" s="16">
        <f t="shared" si="24"/>
        <v>2.508154531399187E-4</v>
      </c>
    </row>
    <row r="295" spans="1:13" x14ac:dyDescent="0.3">
      <c r="A295" t="s">
        <v>35</v>
      </c>
      <c r="B295" s="12">
        <v>2014</v>
      </c>
      <c r="C295" s="13">
        <v>4937790.8739999998</v>
      </c>
      <c r="D295">
        <v>834746.84699999995</v>
      </c>
      <c r="E295" s="12">
        <v>5773588</v>
      </c>
      <c r="F295" s="13">
        <v>484</v>
      </c>
      <c r="G295">
        <v>1103</v>
      </c>
      <c r="H295" s="12">
        <v>1587</v>
      </c>
      <c r="I295" s="15">
        <f t="shared" si="22"/>
        <v>0.85523783027122824</v>
      </c>
      <c r="J295" s="15">
        <f t="shared" si="23"/>
        <v>0.14458025875763908</v>
      </c>
      <c r="K295" s="14">
        <f t="shared" si="25"/>
        <v>8.3830020430969445E-5</v>
      </c>
      <c r="L295" s="14">
        <f t="shared" si="26"/>
        <v>1.9104238127140349E-4</v>
      </c>
      <c r="M295" s="16">
        <f t="shared" si="24"/>
        <v>2.7487240170237292E-4</v>
      </c>
    </row>
    <row r="296" spans="1:13" x14ac:dyDescent="0.3">
      <c r="A296" t="s">
        <v>35</v>
      </c>
      <c r="B296" s="12">
        <v>2010</v>
      </c>
      <c r="C296" s="13">
        <v>4948277.8610000005</v>
      </c>
      <c r="D296">
        <v>786591.89400000032</v>
      </c>
      <c r="E296" s="12">
        <v>5733300</v>
      </c>
      <c r="F296" s="13">
        <v>465</v>
      </c>
      <c r="G296">
        <v>1008</v>
      </c>
      <c r="H296" s="12">
        <v>1473</v>
      </c>
      <c r="I296" s="15">
        <f t="shared" si="22"/>
        <v>0.86307673782987115</v>
      </c>
      <c r="J296" s="15">
        <f t="shared" si="23"/>
        <v>0.13719705823871076</v>
      </c>
      <c r="K296" s="14">
        <f t="shared" si="25"/>
        <v>8.110512270420177E-5</v>
      </c>
      <c r="L296" s="14">
        <f t="shared" si="26"/>
        <v>1.758149756684632E-4</v>
      </c>
      <c r="M296" s="16">
        <f t="shared" si="24"/>
        <v>2.5692009837266494E-4</v>
      </c>
    </row>
    <row r="297" spans="1:13" x14ac:dyDescent="0.3">
      <c r="A297" t="s">
        <v>35</v>
      </c>
      <c r="B297" s="12">
        <v>2011</v>
      </c>
      <c r="C297" s="13">
        <v>4962202.3369999994</v>
      </c>
      <c r="D297">
        <v>787256.86</v>
      </c>
      <c r="E297" s="12">
        <v>5750826</v>
      </c>
      <c r="F297" s="13">
        <v>422</v>
      </c>
      <c r="G297">
        <v>1012</v>
      </c>
      <c r="H297" s="12">
        <v>1434</v>
      </c>
      <c r="I297" s="15">
        <f t="shared" si="22"/>
        <v>0.86286775795337911</v>
      </c>
      <c r="J297" s="15">
        <f t="shared" si="23"/>
        <v>0.13689457131897226</v>
      </c>
      <c r="K297" s="14">
        <f t="shared" si="25"/>
        <v>7.3380763041691754E-5</v>
      </c>
      <c r="L297" s="14">
        <f t="shared" si="26"/>
        <v>1.7597472084879634E-4</v>
      </c>
      <c r="M297" s="16">
        <f t="shared" si="24"/>
        <v>2.493554838904881E-4</v>
      </c>
    </row>
    <row r="298" spans="1:13" x14ac:dyDescent="0.3">
      <c r="A298" t="s">
        <v>35</v>
      </c>
      <c r="B298" s="12">
        <v>2012</v>
      </c>
      <c r="C298" s="13">
        <v>4966841.9189999988</v>
      </c>
      <c r="D298">
        <v>804906.40200000012</v>
      </c>
      <c r="E298" s="12">
        <v>5772855</v>
      </c>
      <c r="F298" s="13">
        <v>508</v>
      </c>
      <c r="G298">
        <v>1027</v>
      </c>
      <c r="H298" s="12">
        <v>1535</v>
      </c>
      <c r="I298" s="15">
        <f t="shared" si="22"/>
        <v>0.86037877601290846</v>
      </c>
      <c r="J298" s="15">
        <f t="shared" si="23"/>
        <v>0.13942952005550116</v>
      </c>
      <c r="K298" s="14">
        <f t="shared" si="25"/>
        <v>8.7998052956466083E-5</v>
      </c>
      <c r="L298" s="14">
        <f t="shared" si="26"/>
        <v>1.7790157556356431E-4</v>
      </c>
      <c r="M298" s="16">
        <f t="shared" si="24"/>
        <v>2.658996285200304E-4</v>
      </c>
    </row>
    <row r="299" spans="1:13" x14ac:dyDescent="0.3">
      <c r="A299" t="s">
        <v>30</v>
      </c>
      <c r="B299" s="12">
        <v>2009</v>
      </c>
      <c r="C299" s="13">
        <v>4973429.1559999986</v>
      </c>
      <c r="D299">
        <v>663114.52300000004</v>
      </c>
      <c r="E299" s="12">
        <v>5637418</v>
      </c>
      <c r="F299" s="13">
        <v>488</v>
      </c>
      <c r="G299">
        <v>735</v>
      </c>
      <c r="H299" s="12">
        <v>1223</v>
      </c>
      <c r="I299" s="15">
        <f t="shared" si="22"/>
        <v>0.88221756059245537</v>
      </c>
      <c r="J299" s="15">
        <f t="shared" si="23"/>
        <v>0.11762734695209758</v>
      </c>
      <c r="K299" s="14">
        <f t="shared" si="25"/>
        <v>8.6564452023958486E-5</v>
      </c>
      <c r="L299" s="14">
        <f t="shared" si="26"/>
        <v>1.3037883655247847E-4</v>
      </c>
      <c r="M299" s="16">
        <f t="shared" si="24"/>
        <v>2.1694328857643696E-4</v>
      </c>
    </row>
    <row r="300" spans="1:13" x14ac:dyDescent="0.3">
      <c r="A300" t="s">
        <v>35</v>
      </c>
      <c r="B300" s="12">
        <v>2009</v>
      </c>
      <c r="C300" s="13">
        <v>5006230.7609999999</v>
      </c>
      <c r="D300">
        <v>777185.89799999993</v>
      </c>
      <c r="E300" s="12">
        <v>5784755</v>
      </c>
      <c r="F300" s="13">
        <v>458</v>
      </c>
      <c r="G300">
        <v>1118</v>
      </c>
      <c r="H300" s="12">
        <v>1576</v>
      </c>
      <c r="I300" s="15">
        <f t="shared" si="22"/>
        <v>0.86541794094996238</v>
      </c>
      <c r="J300" s="15">
        <f t="shared" si="23"/>
        <v>0.13435070249301828</v>
      </c>
      <c r="K300" s="14">
        <f t="shared" si="25"/>
        <v>7.9173621009014214E-5</v>
      </c>
      <c r="L300" s="14">
        <f t="shared" si="26"/>
        <v>1.9326661198270281E-4</v>
      </c>
      <c r="M300" s="16">
        <f t="shared" si="24"/>
        <v>2.72440232991717E-4</v>
      </c>
    </row>
    <row r="301" spans="1:13" x14ac:dyDescent="0.3">
      <c r="A301" t="s">
        <v>30</v>
      </c>
      <c r="B301" s="12">
        <v>2011</v>
      </c>
      <c r="C301" s="13">
        <v>5011558.1660000011</v>
      </c>
      <c r="D301">
        <v>691979.24199999997</v>
      </c>
      <c r="E301" s="12">
        <v>5704065</v>
      </c>
      <c r="F301" s="13">
        <v>454</v>
      </c>
      <c r="G301">
        <v>858</v>
      </c>
      <c r="H301" s="12">
        <v>1312</v>
      </c>
      <c r="I301" s="15">
        <f t="shared" si="22"/>
        <v>0.87859415451962786</v>
      </c>
      <c r="J301" s="15">
        <f t="shared" si="23"/>
        <v>0.12131335144322514</v>
      </c>
      <c r="K301" s="14">
        <f t="shared" si="25"/>
        <v>7.9592360886490606E-5</v>
      </c>
      <c r="L301" s="14">
        <f t="shared" si="26"/>
        <v>1.5041904326125317E-4</v>
      </c>
      <c r="M301" s="16">
        <f t="shared" si="24"/>
        <v>2.3001140414774377E-4</v>
      </c>
    </row>
    <row r="302" spans="1:13" x14ac:dyDescent="0.3">
      <c r="A302" t="s">
        <v>30</v>
      </c>
      <c r="B302" s="12">
        <v>2010</v>
      </c>
      <c r="C302" s="13">
        <v>5019785.0659999996</v>
      </c>
      <c r="D302">
        <v>676447.65800000005</v>
      </c>
      <c r="E302" s="12">
        <v>5696345</v>
      </c>
      <c r="F302" s="13">
        <v>409</v>
      </c>
      <c r="G302">
        <v>773</v>
      </c>
      <c r="H302" s="12">
        <v>1182</v>
      </c>
      <c r="I302" s="15">
        <f t="shared" si="22"/>
        <v>0.88122911551178862</v>
      </c>
      <c r="J302" s="15">
        <f t="shared" si="23"/>
        <v>0.11875117430562931</v>
      </c>
      <c r="K302" s="14">
        <f t="shared" si="25"/>
        <v>7.1800426413779365E-5</v>
      </c>
      <c r="L302" s="14">
        <f t="shared" si="26"/>
        <v>1.3570105041039472E-4</v>
      </c>
      <c r="M302" s="16">
        <f t="shared" si="24"/>
        <v>2.075014768241741E-4</v>
      </c>
    </row>
    <row r="303" spans="1:13" x14ac:dyDescent="0.3">
      <c r="A303" t="s">
        <v>30</v>
      </c>
      <c r="B303" s="12">
        <v>2012</v>
      </c>
      <c r="C303" s="13">
        <v>5067083.7610000009</v>
      </c>
      <c r="D303">
        <v>716292.64900000009</v>
      </c>
      <c r="E303" s="12">
        <v>5785496</v>
      </c>
      <c r="F303" s="13">
        <v>385</v>
      </c>
      <c r="G303">
        <v>784</v>
      </c>
      <c r="H303" s="12">
        <v>1169</v>
      </c>
      <c r="I303" s="15">
        <f t="shared" si="22"/>
        <v>0.87582529847052026</v>
      </c>
      <c r="J303" s="15">
        <f t="shared" si="23"/>
        <v>0.12380833881831395</v>
      </c>
      <c r="K303" s="14">
        <f t="shared" si="25"/>
        <v>6.6545720539777401E-5</v>
      </c>
      <c r="L303" s="14">
        <f t="shared" si="26"/>
        <v>1.3551128546281945E-4</v>
      </c>
      <c r="M303" s="16">
        <f t="shared" si="24"/>
        <v>2.0205700600259684E-4</v>
      </c>
    </row>
    <row r="304" spans="1:13" x14ac:dyDescent="0.3">
      <c r="A304" t="s">
        <v>30</v>
      </c>
      <c r="B304" s="12">
        <v>2013</v>
      </c>
      <c r="C304" s="13">
        <v>5070569.9690000005</v>
      </c>
      <c r="D304">
        <v>734077.25</v>
      </c>
      <c r="E304" s="12">
        <v>5801682</v>
      </c>
      <c r="F304" s="13">
        <v>424</v>
      </c>
      <c r="G304">
        <v>922</v>
      </c>
      <c r="H304" s="12">
        <v>1346</v>
      </c>
      <c r="I304" s="15">
        <f t="shared" si="22"/>
        <v>0.87398274655522323</v>
      </c>
      <c r="J304" s="15">
        <f t="shared" si="23"/>
        <v>0.1265283498819825</v>
      </c>
      <c r="K304" s="14">
        <f t="shared" si="25"/>
        <v>7.3082254422079666E-5</v>
      </c>
      <c r="L304" s="14">
        <f t="shared" si="26"/>
        <v>1.5891943060650343E-4</v>
      </c>
      <c r="M304" s="16">
        <f t="shared" si="24"/>
        <v>2.3200168502858308E-4</v>
      </c>
    </row>
    <row r="305" spans="1:13" x14ac:dyDescent="0.3">
      <c r="A305" t="s">
        <v>30</v>
      </c>
      <c r="B305" s="12">
        <v>2016</v>
      </c>
      <c r="C305" s="13">
        <v>5074976.1530000009</v>
      </c>
      <c r="D305">
        <v>804822.50199999998</v>
      </c>
      <c r="E305" s="12">
        <v>5878915</v>
      </c>
      <c r="F305" s="13">
        <v>441</v>
      </c>
      <c r="G305">
        <v>852</v>
      </c>
      <c r="H305" s="12">
        <v>1293</v>
      </c>
      <c r="I305" s="15">
        <f t="shared" si="22"/>
        <v>0.86325047274879818</v>
      </c>
      <c r="J305" s="15">
        <f t="shared" si="23"/>
        <v>0.13689983644941287</v>
      </c>
      <c r="K305" s="14">
        <f t="shared" si="25"/>
        <v>7.5013841839863303E-5</v>
      </c>
      <c r="L305" s="14">
        <f t="shared" si="26"/>
        <v>1.4492470124164068E-4</v>
      </c>
      <c r="M305" s="16">
        <f t="shared" si="24"/>
        <v>2.1993854308150398E-4</v>
      </c>
    </row>
    <row r="306" spans="1:13" x14ac:dyDescent="0.3">
      <c r="A306" t="s">
        <v>30</v>
      </c>
      <c r="B306" s="12">
        <v>2017</v>
      </c>
      <c r="C306" s="13">
        <v>5084733</v>
      </c>
      <c r="D306">
        <v>836474</v>
      </c>
      <c r="E306" s="12">
        <v>5921207</v>
      </c>
      <c r="F306" s="13">
        <v>484</v>
      </c>
      <c r="G306">
        <v>839</v>
      </c>
      <c r="H306" s="12">
        <v>1323</v>
      </c>
      <c r="I306" s="15">
        <f t="shared" si="22"/>
        <v>0.85873251855576072</v>
      </c>
      <c r="J306" s="15">
        <f t="shared" si="23"/>
        <v>0.14126748144423931</v>
      </c>
      <c r="K306" s="14">
        <f t="shared" si="25"/>
        <v>8.1740091167223171E-5</v>
      </c>
      <c r="L306" s="14">
        <f t="shared" si="26"/>
        <v>1.4169408365557901E-4</v>
      </c>
      <c r="M306" s="16">
        <f t="shared" si="24"/>
        <v>2.2343417482280218E-4</v>
      </c>
    </row>
    <row r="307" spans="1:13" x14ac:dyDescent="0.3">
      <c r="A307" t="s">
        <v>30</v>
      </c>
      <c r="B307" s="12">
        <v>2014</v>
      </c>
      <c r="C307" s="13">
        <v>5120576.7969999993</v>
      </c>
      <c r="D307">
        <v>763840.40599999984</v>
      </c>
      <c r="E307" s="12">
        <v>5887776</v>
      </c>
      <c r="F307" s="13">
        <v>448</v>
      </c>
      <c r="G307">
        <v>808</v>
      </c>
      <c r="H307" s="12">
        <v>1256</v>
      </c>
      <c r="I307" s="15">
        <f t="shared" si="22"/>
        <v>0.86969626510927034</v>
      </c>
      <c r="J307" s="15">
        <f t="shared" si="23"/>
        <v>0.12973326532802876</v>
      </c>
      <c r="K307" s="14">
        <f t="shared" si="25"/>
        <v>7.6089851244340813E-5</v>
      </c>
      <c r="L307" s="14">
        <f t="shared" si="26"/>
        <v>1.3723348170854326E-4</v>
      </c>
      <c r="M307" s="16">
        <f t="shared" si="24"/>
        <v>2.1332333295288409E-4</v>
      </c>
    </row>
    <row r="308" spans="1:13" x14ac:dyDescent="0.3">
      <c r="A308" t="s">
        <v>30</v>
      </c>
      <c r="B308" s="12">
        <v>2015</v>
      </c>
      <c r="C308" s="13">
        <v>5147282.4460000005</v>
      </c>
      <c r="D308">
        <v>786230.71900000004</v>
      </c>
      <c r="E308" s="12">
        <v>5930195</v>
      </c>
      <c r="F308" s="13">
        <v>486</v>
      </c>
      <c r="G308">
        <v>999</v>
      </c>
      <c r="H308" s="12">
        <v>1485</v>
      </c>
      <c r="I308" s="15">
        <f t="shared" si="22"/>
        <v>0.8679786155429966</v>
      </c>
      <c r="J308" s="15">
        <f t="shared" si="23"/>
        <v>0.13258092170662181</v>
      </c>
      <c r="K308" s="14">
        <f t="shared" si="25"/>
        <v>8.1953460215051946E-5</v>
      </c>
      <c r="L308" s="14">
        <f t="shared" si="26"/>
        <v>1.6845989044205124E-4</v>
      </c>
      <c r="M308" s="16">
        <f t="shared" si="24"/>
        <v>2.5041335065710318E-4</v>
      </c>
    </row>
    <row r="309" spans="1:13" x14ac:dyDescent="0.3">
      <c r="A309" t="s">
        <v>52</v>
      </c>
      <c r="B309" s="12">
        <v>2013</v>
      </c>
      <c r="C309" s="13">
        <v>5180936.0930000003</v>
      </c>
      <c r="D309">
        <v>828946.93300000008</v>
      </c>
      <c r="E309" s="12">
        <v>6009613</v>
      </c>
      <c r="F309" s="13">
        <v>586</v>
      </c>
      <c r="G309">
        <v>1260</v>
      </c>
      <c r="H309" s="12">
        <v>1846</v>
      </c>
      <c r="I309" s="15">
        <f t="shared" si="22"/>
        <v>0.86210810795969728</v>
      </c>
      <c r="J309" s="15">
        <f t="shared" si="23"/>
        <v>0.13793682438453192</v>
      </c>
      <c r="K309" s="14">
        <f t="shared" si="25"/>
        <v>9.7510438692142068E-5</v>
      </c>
      <c r="L309" s="14">
        <f t="shared" si="26"/>
        <v>2.0966408319470821E-4</v>
      </c>
      <c r="M309" s="16">
        <f t="shared" si="24"/>
        <v>3.0717452188685026E-4</v>
      </c>
    </row>
    <row r="310" spans="1:13" x14ac:dyDescent="0.3">
      <c r="A310" t="s">
        <v>52</v>
      </c>
      <c r="B310" s="12">
        <v>2016</v>
      </c>
      <c r="C310" s="13">
        <v>5236073.1469999999</v>
      </c>
      <c r="D310">
        <v>912856.674</v>
      </c>
      <c r="E310" s="12">
        <v>6148188</v>
      </c>
      <c r="F310" s="13">
        <v>572</v>
      </c>
      <c r="G310">
        <v>1212</v>
      </c>
      <c r="H310" s="12">
        <v>1784</v>
      </c>
      <c r="I310" s="15">
        <f t="shared" si="22"/>
        <v>0.85164493131960184</v>
      </c>
      <c r="J310" s="15">
        <f t="shared" si="23"/>
        <v>0.14847572553083932</v>
      </c>
      <c r="K310" s="14">
        <f t="shared" si="25"/>
        <v>9.3035541528658524E-5</v>
      </c>
      <c r="L310" s="14">
        <f t="shared" si="26"/>
        <v>1.9713125232995478E-4</v>
      </c>
      <c r="M310" s="16">
        <f t="shared" si="24"/>
        <v>2.901667938586133E-4</v>
      </c>
    </row>
    <row r="311" spans="1:13" x14ac:dyDescent="0.3">
      <c r="A311" t="s">
        <v>24</v>
      </c>
      <c r="B311" s="12">
        <v>2015</v>
      </c>
      <c r="C311" s="13">
        <v>5252536.0829999996</v>
      </c>
      <c r="D311">
        <v>834075.3949999999</v>
      </c>
      <c r="E311" s="12">
        <v>6085821</v>
      </c>
      <c r="F311" s="13">
        <v>401</v>
      </c>
      <c r="G311">
        <v>873</v>
      </c>
      <c r="H311" s="12">
        <v>1274</v>
      </c>
      <c r="I311" s="15">
        <f t="shared" si="22"/>
        <v>0.86307764934262765</v>
      </c>
      <c r="J311" s="15">
        <f t="shared" si="23"/>
        <v>0.13705223913092415</v>
      </c>
      <c r="K311" s="14">
        <f t="shared" si="25"/>
        <v>6.5890863369132935E-5</v>
      </c>
      <c r="L311" s="14">
        <f t="shared" si="26"/>
        <v>1.43448188831055E-4</v>
      </c>
      <c r="M311" s="16">
        <f t="shared" si="24"/>
        <v>2.0933905220018795E-4</v>
      </c>
    </row>
    <row r="312" spans="1:13" x14ac:dyDescent="0.3">
      <c r="A312" t="s">
        <v>52</v>
      </c>
      <c r="B312" s="12">
        <v>2014</v>
      </c>
      <c r="C312" s="13">
        <v>5271028.307</v>
      </c>
      <c r="D312">
        <v>884234.87100000016</v>
      </c>
      <c r="E312" s="12">
        <v>6157257</v>
      </c>
      <c r="F312" s="13">
        <v>570</v>
      </c>
      <c r="G312">
        <v>1248</v>
      </c>
      <c r="H312" s="12">
        <v>1818</v>
      </c>
      <c r="I312" s="15">
        <f t="shared" si="22"/>
        <v>0.8560676137117551</v>
      </c>
      <c r="J312" s="15">
        <f t="shared" si="23"/>
        <v>0.14360856969264077</v>
      </c>
      <c r="K312" s="14">
        <f t="shared" si="25"/>
        <v>9.2573689875215544E-5</v>
      </c>
      <c r="L312" s="14">
        <f t="shared" si="26"/>
        <v>2.0268765783205086E-4</v>
      </c>
      <c r="M312" s="16">
        <f t="shared" si="24"/>
        <v>2.9526134770726641E-4</v>
      </c>
    </row>
    <row r="313" spans="1:13" x14ac:dyDescent="0.3">
      <c r="A313" t="s">
        <v>52</v>
      </c>
      <c r="B313" s="12">
        <v>2009</v>
      </c>
      <c r="C313" s="13">
        <v>5273050.5480000013</v>
      </c>
      <c r="D313">
        <v>783543.45</v>
      </c>
      <c r="E313" s="12">
        <v>6056214</v>
      </c>
      <c r="F313" s="13">
        <v>507</v>
      </c>
      <c r="G313">
        <v>1095</v>
      </c>
      <c r="H313" s="12">
        <v>1602</v>
      </c>
      <c r="I313" s="15">
        <f t="shared" si="22"/>
        <v>0.87068431663742418</v>
      </c>
      <c r="J313" s="15">
        <f t="shared" si="23"/>
        <v>0.1293784285033521</v>
      </c>
      <c r="K313" s="14">
        <f t="shared" si="25"/>
        <v>8.371566790737579E-5</v>
      </c>
      <c r="L313" s="14">
        <f t="shared" si="26"/>
        <v>1.808060283206637E-4</v>
      </c>
      <c r="M313" s="16">
        <f t="shared" si="24"/>
        <v>2.6452169622803951E-4</v>
      </c>
    </row>
    <row r="314" spans="1:13" x14ac:dyDescent="0.3">
      <c r="A314" t="s">
        <v>52</v>
      </c>
      <c r="B314" s="12">
        <v>2012</v>
      </c>
      <c r="C314" s="13">
        <v>5323833.1679999987</v>
      </c>
      <c r="D314">
        <v>822982.28199999989</v>
      </c>
      <c r="E314" s="12">
        <v>6144968</v>
      </c>
      <c r="F314" s="13">
        <v>503</v>
      </c>
      <c r="G314">
        <v>1202</v>
      </c>
      <c r="H314" s="12">
        <v>1705</v>
      </c>
      <c r="I314" s="15">
        <f t="shared" si="22"/>
        <v>0.86637280584699528</v>
      </c>
      <c r="J314" s="15">
        <f t="shared" si="23"/>
        <v>0.13392783851762938</v>
      </c>
      <c r="K314" s="14">
        <f t="shared" si="25"/>
        <v>8.1855593064113601E-5</v>
      </c>
      <c r="L314" s="14">
        <f t="shared" si="26"/>
        <v>1.956072025110627E-4</v>
      </c>
      <c r="M314" s="16">
        <f t="shared" si="24"/>
        <v>2.7746279557517629E-4</v>
      </c>
    </row>
    <row r="315" spans="1:13" x14ac:dyDescent="0.3">
      <c r="A315" t="s">
        <v>24</v>
      </c>
      <c r="B315" s="12">
        <v>2016</v>
      </c>
      <c r="C315" s="13">
        <v>5324101.5089999996</v>
      </c>
      <c r="D315">
        <v>883020.91400000011</v>
      </c>
      <c r="E315" s="12">
        <v>6207101</v>
      </c>
      <c r="F315" s="13">
        <v>399</v>
      </c>
      <c r="G315">
        <v>765</v>
      </c>
      <c r="H315" s="12">
        <v>1164</v>
      </c>
      <c r="I315" s="15">
        <f t="shared" si="22"/>
        <v>0.85774365666033137</v>
      </c>
      <c r="J315" s="15">
        <f t="shared" si="23"/>
        <v>0.14225979470931763</v>
      </c>
      <c r="K315" s="14">
        <f t="shared" si="25"/>
        <v>6.4281215981502475E-5</v>
      </c>
      <c r="L315" s="14">
        <f t="shared" si="26"/>
        <v>1.2324594041566265E-4</v>
      </c>
      <c r="M315" s="16">
        <f t="shared" si="24"/>
        <v>1.8752715639716512E-4</v>
      </c>
    </row>
    <row r="316" spans="1:13" x14ac:dyDescent="0.3">
      <c r="A316" t="s">
        <v>52</v>
      </c>
      <c r="B316" s="12">
        <v>2015</v>
      </c>
      <c r="C316" s="13">
        <v>5324999.4619999994</v>
      </c>
      <c r="D316">
        <v>904310.52200000011</v>
      </c>
      <c r="E316" s="12">
        <v>6231143</v>
      </c>
      <c r="F316" s="13">
        <v>546</v>
      </c>
      <c r="G316">
        <v>1438</v>
      </c>
      <c r="H316" s="12">
        <v>1984</v>
      </c>
      <c r="I316" s="15">
        <f t="shared" si="22"/>
        <v>0.85457827913755136</v>
      </c>
      <c r="J316" s="15">
        <f t="shared" si="23"/>
        <v>0.14512755075593678</v>
      </c>
      <c r="K316" s="14">
        <f t="shared" si="25"/>
        <v>8.7624373249017075E-5</v>
      </c>
      <c r="L316" s="14">
        <f t="shared" si="26"/>
        <v>2.3077627972909625E-4</v>
      </c>
      <c r="M316" s="16">
        <f t="shared" si="24"/>
        <v>3.184006529781133E-4</v>
      </c>
    </row>
    <row r="317" spans="1:13" x14ac:dyDescent="0.3">
      <c r="A317" t="s">
        <v>52</v>
      </c>
      <c r="B317" s="12">
        <v>2010</v>
      </c>
      <c r="C317" s="13">
        <v>5337561.1210000012</v>
      </c>
      <c r="D317">
        <v>800235.03599999996</v>
      </c>
      <c r="E317" s="12">
        <v>6137476</v>
      </c>
      <c r="F317" s="13">
        <v>501</v>
      </c>
      <c r="G317">
        <v>1117</v>
      </c>
      <c r="H317" s="12">
        <v>1618</v>
      </c>
      <c r="I317" s="15">
        <f t="shared" si="22"/>
        <v>0.86966712717084371</v>
      </c>
      <c r="J317" s="15">
        <f t="shared" si="23"/>
        <v>0.13038503710645874</v>
      </c>
      <c r="K317" s="14">
        <f t="shared" si="25"/>
        <v>8.1629647105748354E-5</v>
      </c>
      <c r="L317" s="14">
        <f t="shared" si="26"/>
        <v>1.8199663835752677E-4</v>
      </c>
      <c r="M317" s="16">
        <f t="shared" si="24"/>
        <v>2.6362628546327513E-4</v>
      </c>
    </row>
    <row r="318" spans="1:13" x14ac:dyDescent="0.3">
      <c r="A318" t="s">
        <v>24</v>
      </c>
      <c r="B318" s="12">
        <v>2011</v>
      </c>
      <c r="C318" s="13">
        <v>5341913.858</v>
      </c>
      <c r="D318">
        <v>782863.51899999997</v>
      </c>
      <c r="E318" s="12">
        <v>6122854</v>
      </c>
      <c r="F318" s="13">
        <v>425</v>
      </c>
      <c r="G318">
        <v>811</v>
      </c>
      <c r="H318" s="12">
        <v>1236</v>
      </c>
      <c r="I318" s="15">
        <f t="shared" si="22"/>
        <v>0.87245488100810509</v>
      </c>
      <c r="J318" s="15">
        <f t="shared" si="23"/>
        <v>0.12785924978776236</v>
      </c>
      <c r="K318" s="14">
        <f t="shared" si="25"/>
        <v>6.941207482654331E-5</v>
      </c>
      <c r="L318" s="14">
        <f t="shared" si="26"/>
        <v>1.3245457102194498E-4</v>
      </c>
      <c r="M318" s="16">
        <f t="shared" si="24"/>
        <v>2.018666458484883E-4</v>
      </c>
    </row>
    <row r="319" spans="1:13" x14ac:dyDescent="0.3">
      <c r="A319" t="s">
        <v>52</v>
      </c>
      <c r="B319" s="12">
        <v>2017</v>
      </c>
      <c r="C319" s="13">
        <v>5352427</v>
      </c>
      <c r="D319">
        <v>944145</v>
      </c>
      <c r="E319" s="12">
        <v>6296572</v>
      </c>
      <c r="F319" s="13">
        <v>548</v>
      </c>
      <c r="G319">
        <v>1321</v>
      </c>
      <c r="H319" s="12">
        <v>1869</v>
      </c>
      <c r="I319" s="15">
        <f t="shared" si="22"/>
        <v>0.85005412468879893</v>
      </c>
      <c r="J319" s="15">
        <f t="shared" si="23"/>
        <v>0.14994587531120107</v>
      </c>
      <c r="K319" s="14">
        <f t="shared" si="25"/>
        <v>8.7031483162584337E-5</v>
      </c>
      <c r="L319" s="14">
        <f t="shared" si="26"/>
        <v>2.097966957258648E-4</v>
      </c>
      <c r="M319" s="16">
        <f t="shared" si="24"/>
        <v>2.9682817888844915E-4</v>
      </c>
    </row>
    <row r="320" spans="1:13" x14ac:dyDescent="0.3">
      <c r="A320" t="s">
        <v>24</v>
      </c>
      <c r="B320" s="12">
        <v>2014</v>
      </c>
      <c r="C320" s="13">
        <v>5383265.824</v>
      </c>
      <c r="D320">
        <v>844157.80000000016</v>
      </c>
      <c r="E320" s="12">
        <v>6228350</v>
      </c>
      <c r="F320" s="13">
        <v>464</v>
      </c>
      <c r="G320">
        <v>816</v>
      </c>
      <c r="H320" s="12">
        <v>1280</v>
      </c>
      <c r="I320" s="15">
        <f t="shared" si="22"/>
        <v>0.8643165242801063</v>
      </c>
      <c r="J320" s="15">
        <f t="shared" si="23"/>
        <v>0.13553474034053967</v>
      </c>
      <c r="K320" s="14">
        <f t="shared" si="25"/>
        <v>7.4498061284288778E-5</v>
      </c>
      <c r="L320" s="14">
        <f t="shared" si="26"/>
        <v>1.3101383191374923E-4</v>
      </c>
      <c r="M320" s="16">
        <f t="shared" si="24"/>
        <v>2.0551189319803801E-4</v>
      </c>
    </row>
    <row r="321" spans="1:13" x14ac:dyDescent="0.3">
      <c r="A321" t="s">
        <v>24</v>
      </c>
      <c r="B321" s="12">
        <v>2012</v>
      </c>
      <c r="C321" s="13">
        <v>5388492.2180000003</v>
      </c>
      <c r="D321">
        <v>806244.01600000006</v>
      </c>
      <c r="E321" s="12">
        <v>6196359</v>
      </c>
      <c r="F321" s="13">
        <v>419</v>
      </c>
      <c r="G321">
        <v>793</v>
      </c>
      <c r="H321" s="12">
        <v>1212</v>
      </c>
      <c r="I321" s="15">
        <f t="shared" si="22"/>
        <v>0.86962234079723277</v>
      </c>
      <c r="J321" s="15">
        <f t="shared" si="23"/>
        <v>0.13011576895399379</v>
      </c>
      <c r="K321" s="14">
        <f t="shared" si="25"/>
        <v>6.7620355760536149E-5</v>
      </c>
      <c r="L321" s="14">
        <f t="shared" si="26"/>
        <v>1.2797838214344907E-4</v>
      </c>
      <c r="M321" s="16">
        <f t="shared" si="24"/>
        <v>1.9559873790398524E-4</v>
      </c>
    </row>
    <row r="322" spans="1:13" x14ac:dyDescent="0.3">
      <c r="A322" t="s">
        <v>52</v>
      </c>
      <c r="B322" s="12">
        <v>2011</v>
      </c>
      <c r="C322" s="13">
        <v>5395970.0410000011</v>
      </c>
      <c r="D322">
        <v>826324.92799999996</v>
      </c>
      <c r="E322" s="12">
        <v>6223143</v>
      </c>
      <c r="F322" s="13">
        <v>553</v>
      </c>
      <c r="G322">
        <v>1192</v>
      </c>
      <c r="H322" s="12">
        <v>1745</v>
      </c>
      <c r="I322" s="15">
        <f t="shared" si="22"/>
        <v>0.86708115834715693</v>
      </c>
      <c r="J322" s="15">
        <f t="shared" si="23"/>
        <v>0.13278257112201985</v>
      </c>
      <c r="K322" s="14">
        <f t="shared" si="25"/>
        <v>8.8861850033013868E-5</v>
      </c>
      <c r="L322" s="14">
        <f t="shared" si="26"/>
        <v>1.915430836154657E-4</v>
      </c>
      <c r="M322" s="16">
        <f t="shared" si="24"/>
        <v>2.8040493364847954E-4</v>
      </c>
    </row>
    <row r="323" spans="1:13" x14ac:dyDescent="0.3">
      <c r="A323" t="s">
        <v>12</v>
      </c>
      <c r="B323" s="12">
        <v>2011</v>
      </c>
      <c r="C323" s="13">
        <v>5401002.5830000006</v>
      </c>
      <c r="D323">
        <v>852456.78099999996</v>
      </c>
      <c r="E323" s="12">
        <v>6257995</v>
      </c>
      <c r="F323" s="13">
        <v>457</v>
      </c>
      <c r="G323">
        <v>560</v>
      </c>
      <c r="H323" s="12">
        <v>1017</v>
      </c>
      <c r="I323" s="15">
        <f t="shared" ref="I323:I386" si="27">C323/E323</f>
        <v>0.8630563915439371</v>
      </c>
      <c r="J323" s="15">
        <f t="shared" ref="J323:J386" si="28">D323/E323</f>
        <v>0.1362188338277675</v>
      </c>
      <c r="K323" s="14">
        <f t="shared" si="25"/>
        <v>7.3026584393244166E-5</v>
      </c>
      <c r="L323" s="14">
        <f t="shared" si="26"/>
        <v>8.9485530109883441E-5</v>
      </c>
      <c r="M323" s="16">
        <f t="shared" ref="M323:M386" si="29">H323/E323</f>
        <v>1.6251211450312759E-4</v>
      </c>
    </row>
    <row r="324" spans="1:13" x14ac:dyDescent="0.3">
      <c r="A324" t="s">
        <v>12</v>
      </c>
      <c r="B324" s="12">
        <v>2010</v>
      </c>
      <c r="C324" s="13">
        <v>5407549.199</v>
      </c>
      <c r="D324">
        <v>831393.0199999999</v>
      </c>
      <c r="E324" s="12">
        <v>6246816</v>
      </c>
      <c r="F324" s="13">
        <v>500</v>
      </c>
      <c r="G324">
        <v>594</v>
      </c>
      <c r="H324" s="12">
        <v>1094</v>
      </c>
      <c r="I324" s="15">
        <f t="shared" si="27"/>
        <v>0.86564886799931362</v>
      </c>
      <c r="J324" s="15">
        <f t="shared" si="28"/>
        <v>0.13309068491852488</v>
      </c>
      <c r="K324" s="14">
        <f t="shared" si="25"/>
        <v>8.0040775972911645E-5</v>
      </c>
      <c r="L324" s="14">
        <f t="shared" si="26"/>
        <v>9.5088441855819032E-5</v>
      </c>
      <c r="M324" s="16">
        <f t="shared" si="29"/>
        <v>1.7512921782873066E-4</v>
      </c>
    </row>
    <row r="325" spans="1:13" x14ac:dyDescent="0.3">
      <c r="A325" t="s">
        <v>24</v>
      </c>
      <c r="B325" s="12">
        <v>2013</v>
      </c>
      <c r="C325" s="13">
        <v>5466138.909</v>
      </c>
      <c r="D325">
        <v>831703.03299999994</v>
      </c>
      <c r="E325" s="12">
        <v>6295415</v>
      </c>
      <c r="F325" s="13">
        <v>504</v>
      </c>
      <c r="G325">
        <v>919</v>
      </c>
      <c r="H325" s="12">
        <v>1423</v>
      </c>
      <c r="I325" s="15">
        <f t="shared" si="27"/>
        <v>0.86827300646581673</v>
      </c>
      <c r="J325" s="15">
        <f t="shared" si="28"/>
        <v>0.13211250298828592</v>
      </c>
      <c r="K325" s="14">
        <f t="shared" si="25"/>
        <v>8.0058264625922193E-5</v>
      </c>
      <c r="L325" s="14">
        <f t="shared" si="26"/>
        <v>1.4597925633179067E-4</v>
      </c>
      <c r="M325" s="16">
        <f t="shared" si="29"/>
        <v>2.2603752095771287E-4</v>
      </c>
    </row>
    <row r="326" spans="1:13" x14ac:dyDescent="0.3">
      <c r="A326" t="s">
        <v>24</v>
      </c>
      <c r="B326" s="12">
        <v>2017</v>
      </c>
      <c r="C326" s="13">
        <v>5484127</v>
      </c>
      <c r="D326">
        <v>940248</v>
      </c>
      <c r="E326" s="12">
        <v>6424375</v>
      </c>
      <c r="F326" s="13">
        <v>494</v>
      </c>
      <c r="G326">
        <v>901</v>
      </c>
      <c r="H326" s="12">
        <v>1395</v>
      </c>
      <c r="I326" s="15">
        <f t="shared" si="27"/>
        <v>0.85364366183480889</v>
      </c>
      <c r="J326" s="15">
        <f t="shared" si="28"/>
        <v>0.14635633816519117</v>
      </c>
      <c r="K326" s="14">
        <f t="shared" si="25"/>
        <v>7.6894639556377082E-5</v>
      </c>
      <c r="L326" s="14">
        <f t="shared" si="26"/>
        <v>1.4024710574958652E-4</v>
      </c>
      <c r="M326" s="16">
        <f t="shared" si="29"/>
        <v>2.1714174530596361E-4</v>
      </c>
    </row>
    <row r="327" spans="1:13" x14ac:dyDescent="0.3">
      <c r="A327" t="s">
        <v>12</v>
      </c>
      <c r="B327" s="12">
        <v>2016</v>
      </c>
      <c r="C327" s="13">
        <v>5504322.2209999999</v>
      </c>
      <c r="D327">
        <v>1006219.0380000001</v>
      </c>
      <c r="E327" s="12">
        <v>6508490</v>
      </c>
      <c r="F327" s="13">
        <v>508</v>
      </c>
      <c r="G327">
        <v>666</v>
      </c>
      <c r="H327" s="12">
        <v>1174</v>
      </c>
      <c r="I327" s="15">
        <f t="shared" si="27"/>
        <v>0.84571417041433572</v>
      </c>
      <c r="J327" s="15">
        <f t="shared" si="28"/>
        <v>0.15460099623722245</v>
      </c>
      <c r="K327" s="14">
        <f t="shared" ref="K327:K390" si="30">F327/E327</f>
        <v>7.8051898366595011E-5</v>
      </c>
      <c r="L327" s="14">
        <f t="shared" si="26"/>
        <v>1.0232788250423677E-4</v>
      </c>
      <c r="M327" s="16">
        <f t="shared" si="29"/>
        <v>1.803797808708318E-4</v>
      </c>
    </row>
    <row r="328" spans="1:13" x14ac:dyDescent="0.3">
      <c r="A328" t="s">
        <v>12</v>
      </c>
      <c r="B328" s="12">
        <v>2009</v>
      </c>
      <c r="C328" s="13">
        <v>5508902.5249999994</v>
      </c>
      <c r="D328">
        <v>814059.98300000012</v>
      </c>
      <c r="E328" s="12">
        <v>6324865</v>
      </c>
      <c r="F328" s="13">
        <v>472</v>
      </c>
      <c r="G328">
        <v>789</v>
      </c>
      <c r="H328" s="12">
        <v>1261</v>
      </c>
      <c r="I328" s="15">
        <f t="shared" si="27"/>
        <v>0.87099132155389869</v>
      </c>
      <c r="J328" s="15">
        <f t="shared" si="28"/>
        <v>0.12870788277694467</v>
      </c>
      <c r="K328" s="14">
        <f t="shared" si="30"/>
        <v>7.4626098738866367E-5</v>
      </c>
      <c r="L328" s="14">
        <f t="shared" ref="L328:L391" si="31">G328/E328</f>
        <v>1.2474574556136772E-4</v>
      </c>
      <c r="M328" s="16">
        <f t="shared" si="29"/>
        <v>1.9937184430023408E-4</v>
      </c>
    </row>
    <row r="329" spans="1:13" x14ac:dyDescent="0.3">
      <c r="A329" t="s">
        <v>12</v>
      </c>
      <c r="B329" s="12">
        <v>2012</v>
      </c>
      <c r="C329" s="13">
        <v>5510080.2369999997</v>
      </c>
      <c r="D329">
        <v>891925.98</v>
      </c>
      <c r="E329" s="12">
        <v>6410979</v>
      </c>
      <c r="F329" s="13">
        <v>439</v>
      </c>
      <c r="G329">
        <v>564</v>
      </c>
      <c r="H329" s="12">
        <v>1003</v>
      </c>
      <c r="I329" s="15">
        <f t="shared" si="27"/>
        <v>0.859475633440696</v>
      </c>
      <c r="J329" s="15">
        <f t="shared" si="28"/>
        <v>0.1391247701794063</v>
      </c>
      <c r="K329" s="14">
        <f t="shared" si="30"/>
        <v>6.8476281079691572E-5</v>
      </c>
      <c r="L329" s="14">
        <f t="shared" si="31"/>
        <v>8.7974083209444294E-5</v>
      </c>
      <c r="M329" s="16">
        <f t="shared" si="29"/>
        <v>1.5645036428913587E-4</v>
      </c>
    </row>
    <row r="330" spans="1:13" x14ac:dyDescent="0.3">
      <c r="A330" t="s">
        <v>12</v>
      </c>
      <c r="B330" s="12">
        <v>2015</v>
      </c>
      <c r="C330" s="13">
        <v>5523563.6130000008</v>
      </c>
      <c r="D330">
        <v>1009586.7609999999</v>
      </c>
      <c r="E330" s="12">
        <v>6522731</v>
      </c>
      <c r="F330" s="13">
        <v>436</v>
      </c>
      <c r="G330">
        <v>625</v>
      </c>
      <c r="H330" s="12">
        <v>1061</v>
      </c>
      <c r="I330" s="15">
        <f t="shared" si="27"/>
        <v>0.84681763098922846</v>
      </c>
      <c r="J330" s="15">
        <f t="shared" si="28"/>
        <v>0.15477976341504807</v>
      </c>
      <c r="K330" s="14">
        <f t="shared" si="30"/>
        <v>6.6843167378817251E-5</v>
      </c>
      <c r="L330" s="14">
        <f t="shared" si="31"/>
        <v>9.5818760577432981E-5</v>
      </c>
      <c r="M330" s="16">
        <f t="shared" si="29"/>
        <v>1.6266192795625023E-4</v>
      </c>
    </row>
    <row r="331" spans="1:13" x14ac:dyDescent="0.3">
      <c r="A331" t="s">
        <v>24</v>
      </c>
      <c r="B331" s="12">
        <v>2009</v>
      </c>
      <c r="C331" s="13">
        <v>5540636.1900000004</v>
      </c>
      <c r="D331">
        <v>798519.55800000008</v>
      </c>
      <c r="E331" s="12">
        <v>6342469</v>
      </c>
      <c r="F331" s="13">
        <v>391</v>
      </c>
      <c r="G331">
        <v>944</v>
      </c>
      <c r="H331" s="12">
        <v>1335</v>
      </c>
      <c r="I331" s="15">
        <f t="shared" si="27"/>
        <v>0.87357718106308446</v>
      </c>
      <c r="J331" s="15">
        <f t="shared" si="28"/>
        <v>0.12590042742029958</v>
      </c>
      <c r="K331" s="14">
        <f t="shared" si="30"/>
        <v>6.1647916607869902E-5</v>
      </c>
      <c r="L331" s="14">
        <f t="shared" si="31"/>
        <v>1.4883793677194165E-4</v>
      </c>
      <c r="M331" s="16">
        <f t="shared" si="29"/>
        <v>2.1048585337981156E-4</v>
      </c>
    </row>
    <row r="332" spans="1:13" x14ac:dyDescent="0.3">
      <c r="A332" t="s">
        <v>12</v>
      </c>
      <c r="B332" s="12">
        <v>2013</v>
      </c>
      <c r="C332" s="13">
        <v>5543969.3710000012</v>
      </c>
      <c r="D332">
        <v>925551.01699999999</v>
      </c>
      <c r="E332" s="12">
        <v>6471024</v>
      </c>
      <c r="F332" s="13">
        <v>431</v>
      </c>
      <c r="G332">
        <v>632</v>
      </c>
      <c r="H332" s="12">
        <v>1063</v>
      </c>
      <c r="I332" s="15">
        <f t="shared" si="27"/>
        <v>0.85673756904625931</v>
      </c>
      <c r="J332" s="15">
        <f t="shared" si="28"/>
        <v>0.14303007020218128</v>
      </c>
      <c r="K332" s="14">
        <f t="shared" si="30"/>
        <v>6.6604605391665985E-5</v>
      </c>
      <c r="L332" s="14">
        <f t="shared" si="31"/>
        <v>9.7666149901468459E-5</v>
      </c>
      <c r="M332" s="16">
        <f t="shared" si="29"/>
        <v>1.6427075529313443E-4</v>
      </c>
    </row>
    <row r="333" spans="1:13" x14ac:dyDescent="0.3">
      <c r="A333" t="s">
        <v>12</v>
      </c>
      <c r="B333" s="12">
        <v>2014</v>
      </c>
      <c r="C333" s="13">
        <v>5554161.6049999995</v>
      </c>
      <c r="D333">
        <v>966163.201</v>
      </c>
      <c r="E333" s="12">
        <v>6524205</v>
      </c>
      <c r="F333" s="13">
        <v>464</v>
      </c>
      <c r="G333">
        <v>579</v>
      </c>
      <c r="H333" s="12">
        <v>1043</v>
      </c>
      <c r="I333" s="15">
        <f t="shared" si="27"/>
        <v>0.85131623010006574</v>
      </c>
      <c r="J333" s="15">
        <f t="shared" si="28"/>
        <v>0.14808903169045118</v>
      </c>
      <c r="K333" s="14">
        <f t="shared" si="30"/>
        <v>7.1119776279255484E-5</v>
      </c>
      <c r="L333" s="14">
        <f t="shared" si="31"/>
        <v>8.8746444969157163E-5</v>
      </c>
      <c r="M333" s="16">
        <f t="shared" si="29"/>
        <v>1.5986622124841265E-4</v>
      </c>
    </row>
    <row r="334" spans="1:13" x14ac:dyDescent="0.3">
      <c r="A334" t="s">
        <v>31</v>
      </c>
      <c r="B334" s="12">
        <v>2010</v>
      </c>
      <c r="C334" s="13">
        <v>5596882.6769999992</v>
      </c>
      <c r="D334">
        <v>874616.72600000002</v>
      </c>
      <c r="E334" s="12">
        <v>6476616</v>
      </c>
      <c r="F334" s="13">
        <v>414</v>
      </c>
      <c r="G334">
        <v>1137</v>
      </c>
      <c r="H334" s="12">
        <v>1551</v>
      </c>
      <c r="I334" s="15">
        <f t="shared" si="27"/>
        <v>0.86416775010283131</v>
      </c>
      <c r="J334" s="15">
        <f t="shared" si="28"/>
        <v>0.13504223903347057</v>
      </c>
      <c r="K334" s="14">
        <f t="shared" si="30"/>
        <v>6.3922270519048841E-5</v>
      </c>
      <c r="L334" s="14">
        <f t="shared" si="31"/>
        <v>1.7555464149796745E-4</v>
      </c>
      <c r="M334" s="16">
        <f t="shared" si="29"/>
        <v>2.3947691201701629E-4</v>
      </c>
    </row>
    <row r="335" spans="1:13" x14ac:dyDescent="0.3">
      <c r="A335" t="s">
        <v>24</v>
      </c>
      <c r="B335" s="12">
        <v>2010</v>
      </c>
      <c r="C335" s="13">
        <v>5601419.9879999999</v>
      </c>
      <c r="D335">
        <v>816965.27399999986</v>
      </c>
      <c r="E335" s="12">
        <v>6417398</v>
      </c>
      <c r="F335" s="13">
        <v>460</v>
      </c>
      <c r="G335">
        <v>979</v>
      </c>
      <c r="H335" s="12">
        <v>1439</v>
      </c>
      <c r="I335" s="15">
        <f t="shared" si="27"/>
        <v>0.8728490874338789</v>
      </c>
      <c r="J335" s="15">
        <f t="shared" si="28"/>
        <v>0.1273047540451753</v>
      </c>
      <c r="K335" s="14">
        <f t="shared" si="30"/>
        <v>7.1680142013943971E-5</v>
      </c>
      <c r="L335" s="14">
        <f t="shared" si="31"/>
        <v>1.5255404137315466E-4</v>
      </c>
      <c r="M335" s="16">
        <f t="shared" si="29"/>
        <v>2.2423418338709863E-4</v>
      </c>
    </row>
    <row r="336" spans="1:13" x14ac:dyDescent="0.3">
      <c r="A336" t="s">
        <v>31</v>
      </c>
      <c r="B336" s="12">
        <v>2011</v>
      </c>
      <c r="C336" s="13">
        <v>5618110.2640000004</v>
      </c>
      <c r="D336">
        <v>894689.74699999997</v>
      </c>
      <c r="E336" s="12">
        <v>6511549</v>
      </c>
      <c r="F336" s="13">
        <v>462</v>
      </c>
      <c r="G336">
        <v>1261</v>
      </c>
      <c r="H336" s="12">
        <v>1723</v>
      </c>
      <c r="I336" s="15">
        <f t="shared" si="27"/>
        <v>0.86279167430053905</v>
      </c>
      <c r="J336" s="15">
        <f t="shared" si="28"/>
        <v>0.13740044757399505</v>
      </c>
      <c r="K336" s="14">
        <f t="shared" si="30"/>
        <v>7.095085977238289E-5</v>
      </c>
      <c r="L336" s="14">
        <f t="shared" si="31"/>
        <v>1.9365591812332212E-4</v>
      </c>
      <c r="M336" s="16">
        <f t="shared" si="29"/>
        <v>2.6460677789570501E-4</v>
      </c>
    </row>
    <row r="337" spans="1:13" x14ac:dyDescent="0.3">
      <c r="A337" t="s">
        <v>31</v>
      </c>
      <c r="B337" s="12">
        <v>2012</v>
      </c>
      <c r="C337" s="13">
        <v>5637799.4390000002</v>
      </c>
      <c r="D337">
        <v>909459.38199999998</v>
      </c>
      <c r="E337" s="12">
        <v>6544014</v>
      </c>
      <c r="F337" s="13">
        <v>391</v>
      </c>
      <c r="G337">
        <v>1219</v>
      </c>
      <c r="H337" s="12">
        <v>1610</v>
      </c>
      <c r="I337" s="15">
        <f t="shared" si="27"/>
        <v>0.86152007605729453</v>
      </c>
      <c r="J337" s="15">
        <f t="shared" si="28"/>
        <v>0.13897576961173982</v>
      </c>
      <c r="K337" s="14">
        <f t="shared" si="30"/>
        <v>5.9749260927620263E-5</v>
      </c>
      <c r="L337" s="14">
        <f t="shared" si="31"/>
        <v>1.8627710759787494E-4</v>
      </c>
      <c r="M337" s="16">
        <f t="shared" si="29"/>
        <v>2.4602636852549521E-4</v>
      </c>
    </row>
    <row r="338" spans="1:13" x14ac:dyDescent="0.3">
      <c r="A338" t="s">
        <v>31</v>
      </c>
      <c r="B338" s="12">
        <v>2009</v>
      </c>
      <c r="C338" s="13">
        <v>5640486.4029999999</v>
      </c>
      <c r="D338">
        <v>868998.38300000003</v>
      </c>
      <c r="E338" s="12">
        <v>6511176</v>
      </c>
      <c r="F338" s="13">
        <v>452</v>
      </c>
      <c r="G338">
        <v>1174</v>
      </c>
      <c r="H338" s="12">
        <v>1626</v>
      </c>
      <c r="I338" s="15">
        <f t="shared" si="27"/>
        <v>0.86627767441703307</v>
      </c>
      <c r="J338" s="15">
        <f t="shared" si="28"/>
        <v>0.13346258540699868</v>
      </c>
      <c r="K338" s="14">
        <f t="shared" si="30"/>
        <v>6.9419103400061673E-5</v>
      </c>
      <c r="L338" s="14">
        <f t="shared" si="31"/>
        <v>1.8030537033555843E-4</v>
      </c>
      <c r="M338" s="16">
        <f t="shared" si="29"/>
        <v>2.4972447373562012E-4</v>
      </c>
    </row>
    <row r="339" spans="1:13" x14ac:dyDescent="0.3">
      <c r="A339" t="s">
        <v>12</v>
      </c>
      <c r="B339" s="12">
        <v>2017</v>
      </c>
      <c r="C339" s="13">
        <v>5649633</v>
      </c>
      <c r="D339">
        <v>1092768</v>
      </c>
      <c r="E339" s="12">
        <v>6742401</v>
      </c>
      <c r="F339" s="13">
        <v>435</v>
      </c>
      <c r="G339">
        <v>697</v>
      </c>
      <c r="H339" s="12">
        <v>1132</v>
      </c>
      <c r="I339" s="15">
        <f t="shared" si="27"/>
        <v>0.8379259851201375</v>
      </c>
      <c r="J339" s="15">
        <f t="shared" si="28"/>
        <v>0.16207401487986253</v>
      </c>
      <c r="K339" s="14">
        <f t="shared" si="30"/>
        <v>6.4517076335269885E-5</v>
      </c>
      <c r="L339" s="14">
        <f t="shared" si="31"/>
        <v>1.0337563725444393E-4</v>
      </c>
      <c r="M339" s="16">
        <f t="shared" si="29"/>
        <v>1.6789271358971382E-4</v>
      </c>
    </row>
    <row r="340" spans="1:13" x14ac:dyDescent="0.3">
      <c r="A340" t="s">
        <v>31</v>
      </c>
      <c r="B340" s="12">
        <v>2013</v>
      </c>
      <c r="C340" s="13">
        <v>5674941.5349999983</v>
      </c>
      <c r="D340">
        <v>935524.70600000001</v>
      </c>
      <c r="E340" s="12">
        <v>6605058</v>
      </c>
      <c r="F340" s="13">
        <v>413</v>
      </c>
      <c r="G340">
        <v>1390</v>
      </c>
      <c r="H340" s="12">
        <v>1803</v>
      </c>
      <c r="I340" s="15">
        <f t="shared" si="27"/>
        <v>0.85918118130075438</v>
      </c>
      <c r="J340" s="15">
        <f t="shared" si="28"/>
        <v>0.14163762165298169</v>
      </c>
      <c r="K340" s="14">
        <f t="shared" si="30"/>
        <v>6.2527838514059978E-5</v>
      </c>
      <c r="L340" s="14">
        <f t="shared" si="31"/>
        <v>2.1044478337661835E-4</v>
      </c>
      <c r="M340" s="16">
        <f t="shared" si="29"/>
        <v>2.7297262189067835E-4</v>
      </c>
    </row>
    <row r="341" spans="1:13" x14ac:dyDescent="0.3">
      <c r="A341" t="s">
        <v>31</v>
      </c>
      <c r="B341" s="12">
        <v>2014</v>
      </c>
      <c r="C341" s="13">
        <v>5697933.0559999999</v>
      </c>
      <c r="D341">
        <v>960533.90700000012</v>
      </c>
      <c r="E341" s="12">
        <v>6657291</v>
      </c>
      <c r="F341" s="13">
        <v>462</v>
      </c>
      <c r="G341">
        <v>1186</v>
      </c>
      <c r="H341" s="12">
        <v>1648</v>
      </c>
      <c r="I341" s="15">
        <f t="shared" si="27"/>
        <v>0.85589364442683968</v>
      </c>
      <c r="J341" s="15">
        <f t="shared" si="28"/>
        <v>0.14428299844486295</v>
      </c>
      <c r="K341" s="14">
        <f t="shared" si="30"/>
        <v>6.9397597310978293E-5</v>
      </c>
      <c r="L341" s="14">
        <f t="shared" si="31"/>
        <v>1.7815054201476247E-4</v>
      </c>
      <c r="M341" s="16">
        <f t="shared" si="29"/>
        <v>2.4754813932574077E-4</v>
      </c>
    </row>
    <row r="342" spans="1:13" x14ac:dyDescent="0.3">
      <c r="A342" t="s">
        <v>31</v>
      </c>
      <c r="B342" s="12">
        <v>2015</v>
      </c>
      <c r="C342" s="13">
        <v>5703846.1950000003</v>
      </c>
      <c r="D342">
        <v>980267.26599999995</v>
      </c>
      <c r="E342" s="12">
        <v>6688538</v>
      </c>
      <c r="F342" s="13">
        <v>460</v>
      </c>
      <c r="G342">
        <v>1371</v>
      </c>
      <c r="H342" s="12">
        <v>1831</v>
      </c>
      <c r="I342" s="15">
        <f t="shared" si="27"/>
        <v>0.85277921647451216</v>
      </c>
      <c r="J342" s="15">
        <f t="shared" si="28"/>
        <v>0.14655927289341855</v>
      </c>
      <c r="K342" s="14">
        <f t="shared" si="30"/>
        <v>6.8774371918048458E-5</v>
      </c>
      <c r="L342" s="14">
        <f t="shared" si="31"/>
        <v>2.0497753021661835E-4</v>
      </c>
      <c r="M342" s="16">
        <f t="shared" si="29"/>
        <v>2.737519021346668E-4</v>
      </c>
    </row>
    <row r="343" spans="1:13" x14ac:dyDescent="0.3">
      <c r="A343" t="s">
        <v>57</v>
      </c>
      <c r="B343" s="12">
        <v>2009</v>
      </c>
      <c r="C343" s="13">
        <v>5704893.8650000002</v>
      </c>
      <c r="D343">
        <v>758541.45</v>
      </c>
      <c r="E343" s="12">
        <v>6465755</v>
      </c>
      <c r="F343" s="13">
        <v>486</v>
      </c>
      <c r="G343">
        <v>550</v>
      </c>
      <c r="H343" s="12">
        <v>1036</v>
      </c>
      <c r="I343" s="15">
        <f t="shared" si="27"/>
        <v>0.88232447177475792</v>
      </c>
      <c r="J343" s="15">
        <f t="shared" si="28"/>
        <v>0.11731676347155126</v>
      </c>
      <c r="K343" s="14">
        <f t="shared" si="30"/>
        <v>7.5165235923724299E-5</v>
      </c>
      <c r="L343" s="14">
        <f t="shared" si="31"/>
        <v>8.506353859680734E-5</v>
      </c>
      <c r="M343" s="16">
        <f t="shared" si="29"/>
        <v>1.6022877452053164E-4</v>
      </c>
    </row>
    <row r="344" spans="1:13" x14ac:dyDescent="0.3">
      <c r="A344" t="s">
        <v>31</v>
      </c>
      <c r="B344" s="12">
        <v>2017</v>
      </c>
      <c r="C344" s="13">
        <v>5725952</v>
      </c>
      <c r="D344">
        <v>1046092</v>
      </c>
      <c r="E344" s="12">
        <v>6772044</v>
      </c>
      <c r="F344" s="13">
        <v>437</v>
      </c>
      <c r="G344">
        <v>1306</v>
      </c>
      <c r="H344" s="12">
        <v>1743</v>
      </c>
      <c r="I344" s="15">
        <f t="shared" si="27"/>
        <v>0.84552787902736604</v>
      </c>
      <c r="J344" s="15">
        <f t="shared" si="28"/>
        <v>0.15447212097263396</v>
      </c>
      <c r="K344" s="14">
        <f t="shared" si="30"/>
        <v>6.4530000100412809E-5</v>
      </c>
      <c r="L344" s="14">
        <f t="shared" si="31"/>
        <v>1.9285167078063876E-4</v>
      </c>
      <c r="M344" s="16">
        <f t="shared" si="29"/>
        <v>2.5738167088105155E-4</v>
      </c>
    </row>
    <row r="345" spans="1:13" x14ac:dyDescent="0.3">
      <c r="A345" t="s">
        <v>31</v>
      </c>
      <c r="B345" s="12">
        <v>2016</v>
      </c>
      <c r="C345" s="13">
        <v>5727121.6679999996</v>
      </c>
      <c r="D345">
        <v>1016590.8530000001</v>
      </c>
      <c r="E345" s="12">
        <v>6741921</v>
      </c>
      <c r="F345" s="13">
        <v>439</v>
      </c>
      <c r="G345">
        <v>1108</v>
      </c>
      <c r="H345" s="12">
        <v>1547</v>
      </c>
      <c r="I345" s="15">
        <f t="shared" si="27"/>
        <v>0.84947920155101186</v>
      </c>
      <c r="J345" s="15">
        <f t="shared" si="28"/>
        <v>0.15078652701507481</v>
      </c>
      <c r="K345" s="14">
        <f t="shared" si="30"/>
        <v>6.5114972424031665E-5</v>
      </c>
      <c r="L345" s="14">
        <f t="shared" si="31"/>
        <v>1.6434485067386579E-4</v>
      </c>
      <c r="M345" s="16">
        <f t="shared" si="29"/>
        <v>2.2945982309789746E-4</v>
      </c>
    </row>
    <row r="346" spans="1:13" x14ac:dyDescent="0.3">
      <c r="A346" t="s">
        <v>57</v>
      </c>
      <c r="B346" s="12">
        <v>2010</v>
      </c>
      <c r="C346" s="13">
        <v>5763370.0140000004</v>
      </c>
      <c r="D346">
        <v>775931.8679999999</v>
      </c>
      <c r="E346" s="12">
        <v>6541242</v>
      </c>
      <c r="F346" s="13">
        <v>491</v>
      </c>
      <c r="G346">
        <v>475</v>
      </c>
      <c r="H346" s="12">
        <v>966</v>
      </c>
      <c r="I346" s="15">
        <f t="shared" si="27"/>
        <v>0.88108191288443394</v>
      </c>
      <c r="J346" s="15">
        <f t="shared" si="28"/>
        <v>0.11862148931349734</v>
      </c>
      <c r="K346" s="14">
        <f t="shared" si="30"/>
        <v>7.5062197668271556E-5</v>
      </c>
      <c r="L346" s="14">
        <f t="shared" si="31"/>
        <v>7.2616179006983685E-5</v>
      </c>
      <c r="M346" s="16">
        <f t="shared" si="29"/>
        <v>1.4767837667525524E-4</v>
      </c>
    </row>
    <row r="347" spans="1:13" x14ac:dyDescent="0.3">
      <c r="A347" t="s">
        <v>57</v>
      </c>
      <c r="B347" s="12">
        <v>2015</v>
      </c>
      <c r="C347" s="13">
        <v>5766145.2909999993</v>
      </c>
      <c r="D347">
        <v>893450.61700000009</v>
      </c>
      <c r="E347" s="12">
        <v>6661778</v>
      </c>
      <c r="F347" s="13">
        <v>445</v>
      </c>
      <c r="G347">
        <v>713</v>
      </c>
      <c r="H347" s="12">
        <v>1158</v>
      </c>
      <c r="I347" s="15">
        <f t="shared" si="27"/>
        <v>0.86555650623602276</v>
      </c>
      <c r="J347" s="15">
        <f t="shared" si="28"/>
        <v>0.13411593976863234</v>
      </c>
      <c r="K347" s="14">
        <f t="shared" si="30"/>
        <v>6.6798983694743358E-5</v>
      </c>
      <c r="L347" s="14">
        <f t="shared" si="31"/>
        <v>1.0702848398730789E-4</v>
      </c>
      <c r="M347" s="16">
        <f t="shared" si="29"/>
        <v>1.7382746768205125E-4</v>
      </c>
    </row>
    <row r="348" spans="1:13" x14ac:dyDescent="0.3">
      <c r="A348" t="s">
        <v>57</v>
      </c>
      <c r="B348" s="12">
        <v>2011</v>
      </c>
      <c r="C348" s="13">
        <v>5823987.8039999995</v>
      </c>
      <c r="D348">
        <v>804861.6719999999</v>
      </c>
      <c r="E348" s="12">
        <v>6628098</v>
      </c>
      <c r="F348" s="13">
        <v>454</v>
      </c>
      <c r="G348">
        <v>609</v>
      </c>
      <c r="H348" s="12">
        <v>1063</v>
      </c>
      <c r="I348" s="15">
        <f t="shared" si="27"/>
        <v>0.87868160730272837</v>
      </c>
      <c r="J348" s="15">
        <f t="shared" si="28"/>
        <v>0.12143177001909143</v>
      </c>
      <c r="K348" s="14">
        <f t="shared" si="30"/>
        <v>6.8496271479389712E-5</v>
      </c>
      <c r="L348" s="14">
        <f t="shared" si="31"/>
        <v>9.1881562402969908E-5</v>
      </c>
      <c r="M348" s="16">
        <f t="shared" si="29"/>
        <v>1.6037783388235961E-4</v>
      </c>
    </row>
    <row r="349" spans="1:13" x14ac:dyDescent="0.3">
      <c r="A349" t="s">
        <v>57</v>
      </c>
      <c r="B349" s="12">
        <v>2012</v>
      </c>
      <c r="C349" s="13">
        <v>5878261.5769999987</v>
      </c>
      <c r="D349">
        <v>831783.47500000009</v>
      </c>
      <c r="E349" s="12">
        <v>6707406</v>
      </c>
      <c r="F349" s="13">
        <v>417</v>
      </c>
      <c r="G349">
        <v>578</v>
      </c>
      <c r="H349" s="12">
        <v>995</v>
      </c>
      <c r="I349" s="15">
        <f t="shared" si="27"/>
        <v>0.87638374313408174</v>
      </c>
      <c r="J349" s="15">
        <f t="shared" si="28"/>
        <v>0.12400971031125894</v>
      </c>
      <c r="K349" s="14">
        <f t="shared" si="30"/>
        <v>6.2170084828620781E-5</v>
      </c>
      <c r="L349" s="14">
        <f t="shared" si="31"/>
        <v>8.6173402951901233E-5</v>
      </c>
      <c r="M349" s="16">
        <f t="shared" si="29"/>
        <v>1.48343487780522E-4</v>
      </c>
    </row>
    <row r="350" spans="1:13" x14ac:dyDescent="0.3">
      <c r="A350" t="s">
        <v>57</v>
      </c>
      <c r="B350" s="12">
        <v>2013</v>
      </c>
      <c r="C350" s="13">
        <v>5913788.449</v>
      </c>
      <c r="D350">
        <v>861565.52899999998</v>
      </c>
      <c r="E350" s="12">
        <v>6778098</v>
      </c>
      <c r="F350" s="13">
        <v>422</v>
      </c>
      <c r="G350">
        <v>652</v>
      </c>
      <c r="H350" s="12">
        <v>1074</v>
      </c>
      <c r="I350" s="15">
        <f t="shared" si="27"/>
        <v>0.87248494326874593</v>
      </c>
      <c r="J350" s="15">
        <f t="shared" si="28"/>
        <v>0.12711022015320522</v>
      </c>
      <c r="K350" s="14">
        <f t="shared" si="30"/>
        <v>6.2259353582671715E-5</v>
      </c>
      <c r="L350" s="14">
        <f t="shared" si="31"/>
        <v>9.6192176625360093E-5</v>
      </c>
      <c r="M350" s="16">
        <f t="shared" si="29"/>
        <v>1.5845153020803182E-4</v>
      </c>
    </row>
    <row r="351" spans="1:13" x14ac:dyDescent="0.3">
      <c r="A351" t="s">
        <v>57</v>
      </c>
      <c r="B351" s="12">
        <v>2017</v>
      </c>
      <c r="C351" s="13">
        <v>5980557</v>
      </c>
      <c r="D351">
        <v>994961</v>
      </c>
      <c r="E351" s="12">
        <v>6975518</v>
      </c>
      <c r="F351" s="13">
        <v>481</v>
      </c>
      <c r="G351">
        <v>883</v>
      </c>
      <c r="H351" s="12">
        <v>1364</v>
      </c>
      <c r="I351" s="15">
        <f t="shared" si="27"/>
        <v>0.85736385455531761</v>
      </c>
      <c r="J351" s="15">
        <f t="shared" si="28"/>
        <v>0.14263614544468239</v>
      </c>
      <c r="K351" s="14">
        <f t="shared" si="30"/>
        <v>6.8955452483958891E-5</v>
      </c>
      <c r="L351" s="14">
        <f t="shared" si="31"/>
        <v>1.2658558117117609E-4</v>
      </c>
      <c r="M351" s="16">
        <f t="shared" si="29"/>
        <v>1.95541033655135E-4</v>
      </c>
    </row>
    <row r="352" spans="1:13" x14ac:dyDescent="0.3">
      <c r="A352" t="s">
        <v>57</v>
      </c>
      <c r="B352" s="12">
        <v>2014</v>
      </c>
      <c r="C352" s="13">
        <v>5984217.0880000005</v>
      </c>
      <c r="D352">
        <v>907637.69799999997</v>
      </c>
      <c r="E352" s="12">
        <v>6894493</v>
      </c>
      <c r="F352" s="13">
        <v>425</v>
      </c>
      <c r="G352">
        <v>582</v>
      </c>
      <c r="H352" s="12">
        <v>1007</v>
      </c>
      <c r="I352" s="15">
        <f t="shared" si="27"/>
        <v>0.86797057999768812</v>
      </c>
      <c r="J352" s="15">
        <f t="shared" si="28"/>
        <v>0.13164676474397755</v>
      </c>
      <c r="K352" s="14">
        <f t="shared" si="30"/>
        <v>6.1643401479992798E-5</v>
      </c>
      <c r="L352" s="14">
        <f t="shared" si="31"/>
        <v>8.4415199203190141E-5</v>
      </c>
      <c r="M352" s="16">
        <f t="shared" si="29"/>
        <v>1.4605860068318295E-4</v>
      </c>
    </row>
    <row r="353" spans="1:13" x14ac:dyDescent="0.3">
      <c r="A353" t="s">
        <v>57</v>
      </c>
      <c r="B353" s="12">
        <v>2016</v>
      </c>
      <c r="C353" s="13">
        <v>5995211.5580000002</v>
      </c>
      <c r="D353">
        <v>967608.60899999982</v>
      </c>
      <c r="E353" s="12">
        <v>6962621</v>
      </c>
      <c r="F353" s="13">
        <v>461</v>
      </c>
      <c r="G353">
        <v>659</v>
      </c>
      <c r="H353" s="12">
        <v>1120</v>
      </c>
      <c r="I353" s="15">
        <f t="shared" si="27"/>
        <v>0.8610567138438241</v>
      </c>
      <c r="J353" s="15">
        <f t="shared" si="28"/>
        <v>0.13897189133230142</v>
      </c>
      <c r="K353" s="14">
        <f t="shared" si="30"/>
        <v>6.6210698528614445E-5</v>
      </c>
      <c r="L353" s="14">
        <f t="shared" si="31"/>
        <v>9.4648265358691786E-5</v>
      </c>
      <c r="M353" s="16">
        <f t="shared" si="29"/>
        <v>1.6085896388730623E-4</v>
      </c>
    </row>
    <row r="354" spans="1:13" x14ac:dyDescent="0.3">
      <c r="A354" t="s">
        <v>56</v>
      </c>
      <c r="B354" s="12">
        <v>2012</v>
      </c>
      <c r="C354" s="13">
        <v>6537495.885999999</v>
      </c>
      <c r="D354">
        <v>899007.12299999991</v>
      </c>
      <c r="E354" s="12">
        <v>7438015</v>
      </c>
      <c r="F354" s="13">
        <v>459</v>
      </c>
      <c r="G354">
        <v>1105</v>
      </c>
      <c r="H354" s="12">
        <v>1564</v>
      </c>
      <c r="I354" s="15">
        <f t="shared" si="27"/>
        <v>0.87893018312009308</v>
      </c>
      <c r="J354" s="15">
        <f t="shared" si="28"/>
        <v>0.1208665380481217</v>
      </c>
      <c r="K354" s="14">
        <f t="shared" si="30"/>
        <v>6.1710012684835946E-5</v>
      </c>
      <c r="L354" s="14">
        <f t="shared" si="31"/>
        <v>1.485611416486791E-4</v>
      </c>
      <c r="M354" s="16">
        <f t="shared" si="29"/>
        <v>2.1027115433351506E-4</v>
      </c>
    </row>
    <row r="355" spans="1:13" x14ac:dyDescent="0.3">
      <c r="A355" t="s">
        <v>56</v>
      </c>
      <c r="B355" s="12">
        <v>2010</v>
      </c>
      <c r="C355" s="13">
        <v>6631975.2299999986</v>
      </c>
      <c r="D355">
        <v>879672.44299999997</v>
      </c>
      <c r="E355" s="12">
        <v>7512499</v>
      </c>
      <c r="F355" s="13">
        <v>477</v>
      </c>
      <c r="G355">
        <v>1050</v>
      </c>
      <c r="H355" s="12">
        <v>1527</v>
      </c>
      <c r="I355" s="15">
        <f t="shared" si="27"/>
        <v>0.88279216143656036</v>
      </c>
      <c r="J355" s="15">
        <f t="shared" si="28"/>
        <v>0.11709451715068447</v>
      </c>
      <c r="K355" s="14">
        <f t="shared" si="30"/>
        <v>6.3494184824517113E-5</v>
      </c>
      <c r="L355" s="14">
        <f t="shared" si="31"/>
        <v>1.3976707351308798E-4</v>
      </c>
      <c r="M355" s="16">
        <f t="shared" si="29"/>
        <v>2.032612583376051E-4</v>
      </c>
    </row>
    <row r="356" spans="1:13" x14ac:dyDescent="0.3">
      <c r="A356" t="s">
        <v>56</v>
      </c>
      <c r="B356" s="12">
        <v>2014</v>
      </c>
      <c r="C356" s="13">
        <v>6641489.6170000006</v>
      </c>
      <c r="D356">
        <v>959792.52099999983</v>
      </c>
      <c r="E356" s="12">
        <v>7602430</v>
      </c>
      <c r="F356" s="13">
        <v>528</v>
      </c>
      <c r="G356">
        <v>1229</v>
      </c>
      <c r="H356" s="12">
        <v>1757</v>
      </c>
      <c r="I356" s="15">
        <f t="shared" si="27"/>
        <v>0.87360089037320965</v>
      </c>
      <c r="J356" s="15">
        <f t="shared" si="28"/>
        <v>0.12624812342895625</v>
      </c>
      <c r="K356" s="14">
        <f t="shared" si="30"/>
        <v>6.9451478014266485E-5</v>
      </c>
      <c r="L356" s="14">
        <f t="shared" si="31"/>
        <v>1.6165883802941953E-4</v>
      </c>
      <c r="M356" s="16">
        <f t="shared" si="29"/>
        <v>2.3111031604368604E-4</v>
      </c>
    </row>
    <row r="357" spans="1:13" x14ac:dyDescent="0.3">
      <c r="A357" t="s">
        <v>56</v>
      </c>
      <c r="B357" s="12">
        <v>2013</v>
      </c>
      <c r="C357" s="13">
        <v>6685760.0029999996</v>
      </c>
      <c r="D357">
        <v>951827.74100000015</v>
      </c>
      <c r="E357" s="12">
        <v>7636698</v>
      </c>
      <c r="F357" s="13">
        <v>490</v>
      </c>
      <c r="G357">
        <v>1232</v>
      </c>
      <c r="H357" s="12">
        <v>1722</v>
      </c>
      <c r="I357" s="15">
        <f t="shared" si="27"/>
        <v>0.87547785744571793</v>
      </c>
      <c r="J357" s="15">
        <f t="shared" si="28"/>
        <v>0.12463865154809058</v>
      </c>
      <c r="K357" s="14">
        <f t="shared" si="30"/>
        <v>6.416385720634756E-5</v>
      </c>
      <c r="L357" s="14">
        <f t="shared" si="31"/>
        <v>1.6132626954738815E-4</v>
      </c>
      <c r="M357" s="16">
        <f t="shared" si="29"/>
        <v>2.2549012675373572E-4</v>
      </c>
    </row>
    <row r="358" spans="1:13" x14ac:dyDescent="0.3">
      <c r="A358" t="s">
        <v>56</v>
      </c>
      <c r="B358" s="12">
        <v>2009</v>
      </c>
      <c r="C358" s="13">
        <v>6780751.5489999987</v>
      </c>
      <c r="D358">
        <v>898493.43</v>
      </c>
      <c r="E358" s="12">
        <v>7678761</v>
      </c>
      <c r="F358" s="13">
        <v>453</v>
      </c>
      <c r="G358">
        <v>1034</v>
      </c>
      <c r="H358" s="12">
        <v>1487</v>
      </c>
      <c r="I358" s="15">
        <f t="shared" si="27"/>
        <v>0.88305281919830536</v>
      </c>
      <c r="J358" s="15">
        <f t="shared" si="28"/>
        <v>0.11701020906888494</v>
      </c>
      <c r="K358" s="14">
        <f t="shared" si="30"/>
        <v>5.8993892374043159E-5</v>
      </c>
      <c r="L358" s="14">
        <f t="shared" si="31"/>
        <v>1.346571406506857E-4</v>
      </c>
      <c r="M358" s="16">
        <f t="shared" si="29"/>
        <v>1.9365103302472887E-4</v>
      </c>
    </row>
    <row r="359" spans="1:13" x14ac:dyDescent="0.3">
      <c r="A359" t="s">
        <v>56</v>
      </c>
      <c r="B359" s="12">
        <v>2016</v>
      </c>
      <c r="C359" s="13">
        <v>6808201.2820000015</v>
      </c>
      <c r="D359">
        <v>1047533.69</v>
      </c>
      <c r="E359" s="12">
        <v>7859259</v>
      </c>
      <c r="F359" s="13">
        <v>515</v>
      </c>
      <c r="G359">
        <v>982</v>
      </c>
      <c r="H359" s="12">
        <v>1497</v>
      </c>
      <c r="I359" s="15">
        <f t="shared" si="27"/>
        <v>0.86626503618216444</v>
      </c>
      <c r="J359" s="15">
        <f t="shared" si="28"/>
        <v>0.13328657192745524</v>
      </c>
      <c r="K359" s="14">
        <f t="shared" si="30"/>
        <v>6.5527806120144403E-5</v>
      </c>
      <c r="L359" s="14">
        <f t="shared" si="31"/>
        <v>1.2494816623297438E-4</v>
      </c>
      <c r="M359" s="16">
        <f t="shared" si="29"/>
        <v>1.9047597235311879E-4</v>
      </c>
    </row>
    <row r="360" spans="1:13" x14ac:dyDescent="0.3">
      <c r="A360" t="s">
        <v>56</v>
      </c>
      <c r="B360" s="12">
        <v>2015</v>
      </c>
      <c r="C360" s="13">
        <v>6809692.7779999999</v>
      </c>
      <c r="D360">
        <v>1026237.861</v>
      </c>
      <c r="E360" s="12">
        <v>7832482</v>
      </c>
      <c r="F360" s="13">
        <v>513</v>
      </c>
      <c r="G360">
        <v>1206</v>
      </c>
      <c r="H360" s="12">
        <v>1719</v>
      </c>
      <c r="I360" s="15">
        <f t="shared" si="27"/>
        <v>0.86941697127423978</v>
      </c>
      <c r="J360" s="15">
        <f t="shared" si="28"/>
        <v>0.13102332836513381</v>
      </c>
      <c r="K360" s="14">
        <f t="shared" si="30"/>
        <v>6.5496479915306535E-5</v>
      </c>
      <c r="L360" s="14">
        <f t="shared" si="31"/>
        <v>1.5397418085352766E-4</v>
      </c>
      <c r="M360" s="16">
        <f t="shared" si="29"/>
        <v>2.1947066076883419E-4</v>
      </c>
    </row>
    <row r="361" spans="1:13" x14ac:dyDescent="0.3">
      <c r="A361" t="s">
        <v>56</v>
      </c>
      <c r="B361" s="12">
        <v>2011</v>
      </c>
      <c r="C361" s="13">
        <v>6830157.324000001</v>
      </c>
      <c r="D361">
        <v>925808.35800000001</v>
      </c>
      <c r="E361" s="12">
        <v>7752924</v>
      </c>
      <c r="F361" s="13">
        <v>477</v>
      </c>
      <c r="G361">
        <v>1204</v>
      </c>
      <c r="H361" s="12">
        <v>1681</v>
      </c>
      <c r="I361" s="15">
        <f t="shared" si="27"/>
        <v>0.88097823788805374</v>
      </c>
      <c r="J361" s="15">
        <f t="shared" si="28"/>
        <v>0.1194140891875117</v>
      </c>
      <c r="K361" s="14">
        <f t="shared" si="30"/>
        <v>6.152517424393687E-5</v>
      </c>
      <c r="L361" s="14">
        <f t="shared" si="31"/>
        <v>1.552962469385744E-4</v>
      </c>
      <c r="M361" s="16">
        <f t="shared" si="29"/>
        <v>2.1682142118251127E-4</v>
      </c>
    </row>
    <row r="362" spans="1:13" x14ac:dyDescent="0.3">
      <c r="A362" t="s">
        <v>56</v>
      </c>
      <c r="B362" s="12">
        <v>2017</v>
      </c>
      <c r="C362" s="13">
        <v>6837976</v>
      </c>
      <c r="D362">
        <v>1103852</v>
      </c>
      <c r="E362" s="12">
        <v>7941828</v>
      </c>
      <c r="F362" s="13">
        <v>507</v>
      </c>
      <c r="G362">
        <v>1039</v>
      </c>
      <c r="H362" s="12">
        <v>1546</v>
      </c>
      <c r="I362" s="15">
        <f t="shared" si="27"/>
        <v>0.86100781835114026</v>
      </c>
      <c r="J362" s="15">
        <f t="shared" si="28"/>
        <v>0.13899218164885968</v>
      </c>
      <c r="K362" s="14">
        <f t="shared" si="30"/>
        <v>6.3839206792189407E-5</v>
      </c>
      <c r="L362" s="14">
        <f t="shared" si="31"/>
        <v>1.3082630346565049E-4</v>
      </c>
      <c r="M362" s="16">
        <f t="shared" si="29"/>
        <v>1.9466551025783989E-4</v>
      </c>
    </row>
    <row r="363" spans="1:13" x14ac:dyDescent="0.3">
      <c r="A363" t="s">
        <v>40</v>
      </c>
      <c r="B363" s="12">
        <v>2009</v>
      </c>
      <c r="C363" s="13">
        <v>7509541.8839999996</v>
      </c>
      <c r="D363">
        <v>1141421.0089999998</v>
      </c>
      <c r="E363" s="12">
        <v>8650548</v>
      </c>
      <c r="F363" s="13">
        <v>473</v>
      </c>
      <c r="G363">
        <v>1092</v>
      </c>
      <c r="H363" s="12">
        <v>1565</v>
      </c>
      <c r="I363" s="15">
        <f t="shared" si="27"/>
        <v>0.86810013469666891</v>
      </c>
      <c r="J363" s="15">
        <f t="shared" si="28"/>
        <v>0.13194782677351768</v>
      </c>
      <c r="K363" s="14">
        <f t="shared" si="30"/>
        <v>5.4678616892247748E-5</v>
      </c>
      <c r="L363" s="14">
        <f t="shared" si="31"/>
        <v>1.2623477726497788E-4</v>
      </c>
      <c r="M363" s="16">
        <f t="shared" si="29"/>
        <v>1.8091339415722565E-4</v>
      </c>
    </row>
    <row r="364" spans="1:13" x14ac:dyDescent="0.3">
      <c r="A364" t="s">
        <v>40</v>
      </c>
      <c r="B364" s="12">
        <v>2016</v>
      </c>
      <c r="C364" s="13">
        <v>7550311.6539999992</v>
      </c>
      <c r="D364">
        <v>1301696.476</v>
      </c>
      <c r="E364" s="12">
        <v>8850952</v>
      </c>
      <c r="F364" s="13">
        <v>468</v>
      </c>
      <c r="G364">
        <v>1025</v>
      </c>
      <c r="H364" s="12">
        <v>1493</v>
      </c>
      <c r="I364" s="15">
        <f t="shared" si="27"/>
        <v>0.85305079656967964</v>
      </c>
      <c r="J364" s="15">
        <f t="shared" si="28"/>
        <v>0.14706852731773939</v>
      </c>
      <c r="K364" s="14">
        <f t="shared" si="30"/>
        <v>5.2875668063729192E-5</v>
      </c>
      <c r="L364" s="14">
        <f t="shared" si="31"/>
        <v>1.1580675163530431E-4</v>
      </c>
      <c r="M364" s="16">
        <f t="shared" si="29"/>
        <v>1.686824196990335E-4</v>
      </c>
    </row>
    <row r="365" spans="1:13" x14ac:dyDescent="0.3">
      <c r="A365" t="s">
        <v>40</v>
      </c>
      <c r="B365" s="12">
        <v>2010</v>
      </c>
      <c r="C365" s="13">
        <v>7565713.5820000004</v>
      </c>
      <c r="D365">
        <v>1155586.2860000001</v>
      </c>
      <c r="E365" s="12">
        <v>8721577</v>
      </c>
      <c r="F365" s="13">
        <v>468</v>
      </c>
      <c r="G365">
        <v>963</v>
      </c>
      <c r="H365" s="12">
        <v>1431</v>
      </c>
      <c r="I365" s="15">
        <f t="shared" si="27"/>
        <v>0.86747082345314386</v>
      </c>
      <c r="J365" s="15">
        <f t="shared" si="28"/>
        <v>0.13249740110074132</v>
      </c>
      <c r="K365" s="14">
        <f t="shared" si="30"/>
        <v>5.3660020429791537E-5</v>
      </c>
      <c r="L365" s="14">
        <f t="shared" si="31"/>
        <v>1.1041581126899413E-4</v>
      </c>
      <c r="M365" s="16">
        <f t="shared" si="29"/>
        <v>1.6407583169878568E-4</v>
      </c>
    </row>
    <row r="366" spans="1:13" x14ac:dyDescent="0.3">
      <c r="A366" t="s">
        <v>40</v>
      </c>
      <c r="B366" s="12">
        <v>2011</v>
      </c>
      <c r="C366" s="13">
        <v>7576792.1579999998</v>
      </c>
      <c r="D366">
        <v>1173040.6779999998</v>
      </c>
      <c r="E366" s="12">
        <v>8753064</v>
      </c>
      <c r="F366" s="13">
        <v>482</v>
      </c>
      <c r="G366">
        <v>1028</v>
      </c>
      <c r="H366" s="12">
        <v>1510</v>
      </c>
      <c r="I366" s="15">
        <f t="shared" si="27"/>
        <v>0.8656159897836917</v>
      </c>
      <c r="J366" s="15">
        <f t="shared" si="28"/>
        <v>0.13401486359519363</v>
      </c>
      <c r="K366" s="14">
        <f t="shared" si="30"/>
        <v>5.5066431594696442E-5</v>
      </c>
      <c r="L366" s="14">
        <f t="shared" si="31"/>
        <v>1.1744458854636503E-4</v>
      </c>
      <c r="M366" s="16">
        <f t="shared" si="29"/>
        <v>1.7251102014106146E-4</v>
      </c>
    </row>
    <row r="367" spans="1:13" x14ac:dyDescent="0.3">
      <c r="A367" t="s">
        <v>40</v>
      </c>
      <c r="B367" s="12">
        <v>2012</v>
      </c>
      <c r="C367" s="13">
        <v>7597577.3550000004</v>
      </c>
      <c r="D367">
        <v>1198409.213</v>
      </c>
      <c r="E367" s="12">
        <v>8793888</v>
      </c>
      <c r="F367" s="13">
        <v>543</v>
      </c>
      <c r="G367">
        <v>974</v>
      </c>
      <c r="H367" s="12">
        <v>1517</v>
      </c>
      <c r="I367" s="15">
        <f t="shared" si="27"/>
        <v>0.8639611233393012</v>
      </c>
      <c r="J367" s="15">
        <f t="shared" si="28"/>
        <v>0.13627751604296073</v>
      </c>
      <c r="K367" s="14">
        <f t="shared" si="30"/>
        <v>6.1747431852668579E-5</v>
      </c>
      <c r="L367" s="14">
        <f t="shared" si="31"/>
        <v>1.1075874516482356E-4</v>
      </c>
      <c r="M367" s="16">
        <f t="shared" si="29"/>
        <v>1.7250617701749214E-4</v>
      </c>
    </row>
    <row r="368" spans="1:13" x14ac:dyDescent="0.3">
      <c r="A368" t="s">
        <v>40</v>
      </c>
      <c r="B368" s="12">
        <v>2017</v>
      </c>
      <c r="C368" s="13">
        <v>7606162</v>
      </c>
      <c r="D368">
        <v>1353999</v>
      </c>
      <c r="E368" s="12">
        <v>8960161</v>
      </c>
      <c r="F368" s="13">
        <v>398</v>
      </c>
      <c r="G368">
        <v>1139</v>
      </c>
      <c r="H368" s="12">
        <v>1537</v>
      </c>
      <c r="I368" s="15">
        <f t="shared" si="27"/>
        <v>0.84888675549468362</v>
      </c>
      <c r="J368" s="15">
        <f t="shared" si="28"/>
        <v>0.15111324450531638</v>
      </c>
      <c r="K368" s="14">
        <f t="shared" si="30"/>
        <v>4.4418844706027043E-5</v>
      </c>
      <c r="L368" s="14">
        <f t="shared" si="31"/>
        <v>1.2711825155820302E-4</v>
      </c>
      <c r="M368" s="16">
        <f t="shared" si="29"/>
        <v>1.7153709626423007E-4</v>
      </c>
    </row>
    <row r="369" spans="1:13" x14ac:dyDescent="0.3">
      <c r="A369" t="s">
        <v>40</v>
      </c>
      <c r="B369" s="12">
        <v>2013</v>
      </c>
      <c r="C369" s="13">
        <v>7610468.3039999995</v>
      </c>
      <c r="D369">
        <v>1221817.905</v>
      </c>
      <c r="E369" s="12">
        <v>8832406</v>
      </c>
      <c r="F369" s="13">
        <v>466</v>
      </c>
      <c r="G369">
        <v>1161</v>
      </c>
      <c r="H369" s="12">
        <v>1627</v>
      </c>
      <c r="I369" s="15">
        <f t="shared" si="27"/>
        <v>0.86165290680704665</v>
      </c>
      <c r="J369" s="15">
        <f t="shared" si="28"/>
        <v>0.13833353052384595</v>
      </c>
      <c r="K369" s="14">
        <f t="shared" si="30"/>
        <v>5.2760255812515867E-5</v>
      </c>
      <c r="L369" s="14">
        <f t="shared" si="31"/>
        <v>1.3144776179899338E-4</v>
      </c>
      <c r="M369" s="16">
        <f t="shared" si="29"/>
        <v>1.8420801761150925E-4</v>
      </c>
    </row>
    <row r="370" spans="1:13" x14ac:dyDescent="0.3">
      <c r="A370" t="s">
        <v>40</v>
      </c>
      <c r="B370" s="12">
        <v>2015</v>
      </c>
      <c r="C370" s="13">
        <v>7624172.5719999997</v>
      </c>
      <c r="D370">
        <v>1279769.193</v>
      </c>
      <c r="E370" s="12">
        <v>8904413</v>
      </c>
      <c r="F370" s="13">
        <v>463</v>
      </c>
      <c r="G370">
        <v>1234</v>
      </c>
      <c r="H370" s="12">
        <v>1697</v>
      </c>
      <c r="I370" s="15">
        <f t="shared" si="27"/>
        <v>0.8562240511530631</v>
      </c>
      <c r="J370" s="15">
        <f t="shared" si="28"/>
        <v>0.14372302733487316</v>
      </c>
      <c r="K370" s="14">
        <f t="shared" si="30"/>
        <v>5.1996689731260219E-5</v>
      </c>
      <c r="L370" s="14">
        <f t="shared" si="31"/>
        <v>1.3858297003968705E-4</v>
      </c>
      <c r="M370" s="16">
        <f t="shared" si="29"/>
        <v>1.9057965977094729E-4</v>
      </c>
    </row>
    <row r="371" spans="1:13" x14ac:dyDescent="0.3">
      <c r="A371" t="s">
        <v>40</v>
      </c>
      <c r="B371" s="12">
        <v>2014</v>
      </c>
      <c r="C371" s="13">
        <v>7630191.614000001</v>
      </c>
      <c r="D371">
        <v>1247956.8370000003</v>
      </c>
      <c r="E371" s="12">
        <v>8874374</v>
      </c>
      <c r="F371" s="13">
        <v>393</v>
      </c>
      <c r="G371">
        <v>1036</v>
      </c>
      <c r="H371" s="12">
        <v>1429</v>
      </c>
      <c r="I371" s="15">
        <f t="shared" si="27"/>
        <v>0.85980054638220127</v>
      </c>
      <c r="J371" s="15">
        <f t="shared" si="28"/>
        <v>0.14062477387137395</v>
      </c>
      <c r="K371" s="14">
        <f t="shared" si="30"/>
        <v>4.4284813779540958E-5</v>
      </c>
      <c r="L371" s="14">
        <f t="shared" si="31"/>
        <v>1.1674062869110543E-4</v>
      </c>
      <c r="M371" s="16">
        <f t="shared" si="29"/>
        <v>1.6102544247064638E-4</v>
      </c>
    </row>
    <row r="372" spans="1:13" x14ac:dyDescent="0.3">
      <c r="A372" t="s">
        <v>43</v>
      </c>
      <c r="B372" s="12">
        <v>2015</v>
      </c>
      <c r="C372" s="13">
        <v>7844137.2180000003</v>
      </c>
      <c r="D372">
        <v>1264593.7900000003</v>
      </c>
      <c r="E372" s="12">
        <v>9108554</v>
      </c>
      <c r="F372" s="13">
        <v>575</v>
      </c>
      <c r="G372">
        <v>1778</v>
      </c>
      <c r="H372" s="12">
        <v>2353</v>
      </c>
      <c r="I372" s="15">
        <f t="shared" si="27"/>
        <v>0.86118358830611319</v>
      </c>
      <c r="J372" s="15">
        <f t="shared" si="28"/>
        <v>0.13883584485528661</v>
      </c>
      <c r="K372" s="14">
        <f t="shared" si="30"/>
        <v>6.3127473361853045E-5</v>
      </c>
      <c r="L372" s="14">
        <f t="shared" si="31"/>
        <v>1.9520112632586908E-4</v>
      </c>
      <c r="M372" s="16">
        <f t="shared" si="29"/>
        <v>2.5832859968772211E-4</v>
      </c>
    </row>
    <row r="373" spans="1:13" x14ac:dyDescent="0.3">
      <c r="A373" t="s">
        <v>43</v>
      </c>
      <c r="B373" s="12">
        <v>2009</v>
      </c>
      <c r="C373" s="13">
        <v>7870127.2799999984</v>
      </c>
      <c r="D373">
        <v>1111230.145</v>
      </c>
      <c r="E373" s="12">
        <v>8979738</v>
      </c>
      <c r="F373" s="13">
        <v>517</v>
      </c>
      <c r="G373">
        <v>1432</v>
      </c>
      <c r="H373" s="12">
        <v>1949</v>
      </c>
      <c r="I373" s="15">
        <f t="shared" si="27"/>
        <v>0.87643172662721325</v>
      </c>
      <c r="J373" s="15">
        <f t="shared" si="28"/>
        <v>0.12374861549412688</v>
      </c>
      <c r="K373" s="14">
        <f t="shared" si="30"/>
        <v>5.7574062851276953E-5</v>
      </c>
      <c r="L373" s="14">
        <f t="shared" si="31"/>
        <v>1.5947013153390444E-4</v>
      </c>
      <c r="M373" s="16">
        <f t="shared" si="29"/>
        <v>2.170441943851814E-4</v>
      </c>
    </row>
    <row r="374" spans="1:13" x14ac:dyDescent="0.3">
      <c r="A374" t="s">
        <v>32</v>
      </c>
      <c r="B374" s="12">
        <v>2017</v>
      </c>
      <c r="C374" s="13">
        <v>8052940</v>
      </c>
      <c r="D374">
        <v>1498088</v>
      </c>
      <c r="E374" s="12">
        <v>9551028</v>
      </c>
      <c r="F374" s="13">
        <v>553</v>
      </c>
      <c r="G374">
        <v>1495</v>
      </c>
      <c r="H374" s="12">
        <v>2048</v>
      </c>
      <c r="I374" s="15">
        <f t="shared" si="27"/>
        <v>0.84314903065931746</v>
      </c>
      <c r="J374" s="15">
        <f t="shared" si="28"/>
        <v>0.15685096934068249</v>
      </c>
      <c r="K374" s="14">
        <f t="shared" si="30"/>
        <v>5.7899526626871996E-5</v>
      </c>
      <c r="L374" s="14">
        <f t="shared" si="31"/>
        <v>1.5652765335836101E-4</v>
      </c>
      <c r="M374" s="16">
        <f t="shared" si="29"/>
        <v>2.1442717998523302E-4</v>
      </c>
    </row>
    <row r="375" spans="1:13" x14ac:dyDescent="0.3">
      <c r="A375" t="s">
        <v>43</v>
      </c>
      <c r="B375" s="12">
        <v>2010</v>
      </c>
      <c r="C375" s="13">
        <v>8071831.0980000002</v>
      </c>
      <c r="D375">
        <v>1160752.6300000001</v>
      </c>
      <c r="E375" s="12">
        <v>9229081</v>
      </c>
      <c r="F375" s="13">
        <v>548</v>
      </c>
      <c r="G375">
        <v>1436</v>
      </c>
      <c r="H375" s="12">
        <v>1984</v>
      </c>
      <c r="I375" s="15">
        <f t="shared" si="27"/>
        <v>0.87460832752470152</v>
      </c>
      <c r="J375" s="15">
        <f t="shared" si="28"/>
        <v>0.12577120408846776</v>
      </c>
      <c r="K375" s="14">
        <f t="shared" si="30"/>
        <v>5.9377526321418134E-5</v>
      </c>
      <c r="L375" s="14">
        <f t="shared" si="31"/>
        <v>1.555951237181687E-4</v>
      </c>
      <c r="M375" s="16">
        <f t="shared" si="29"/>
        <v>2.1497265003958682E-4</v>
      </c>
    </row>
    <row r="376" spans="1:13" x14ac:dyDescent="0.3">
      <c r="A376" t="s">
        <v>43</v>
      </c>
      <c r="B376" s="12">
        <v>2016</v>
      </c>
      <c r="C376" s="13">
        <v>8090828.4709999999</v>
      </c>
      <c r="D376">
        <v>1345528.3689999997</v>
      </c>
      <c r="E376" s="12">
        <v>9436298</v>
      </c>
      <c r="F376" s="13">
        <v>615</v>
      </c>
      <c r="G376">
        <v>1550</v>
      </c>
      <c r="H376" s="12">
        <v>2165</v>
      </c>
      <c r="I376" s="15">
        <f t="shared" si="27"/>
        <v>0.85741553212923116</v>
      </c>
      <c r="J376" s="15">
        <f t="shared" si="28"/>
        <v>0.14259070336693475</v>
      </c>
      <c r="K376" s="14">
        <f t="shared" si="30"/>
        <v>6.5173863733425963E-5</v>
      </c>
      <c r="L376" s="14">
        <f t="shared" si="31"/>
        <v>1.6425933136066708E-4</v>
      </c>
      <c r="M376" s="16">
        <f t="shared" si="29"/>
        <v>2.2943319509409303E-4</v>
      </c>
    </row>
    <row r="377" spans="1:13" x14ac:dyDescent="0.3">
      <c r="A377" t="s">
        <v>43</v>
      </c>
      <c r="B377" s="12">
        <v>2011</v>
      </c>
      <c r="C377" s="13">
        <v>8097276.9400000004</v>
      </c>
      <c r="D377">
        <v>1176965.2209999999</v>
      </c>
      <c r="E377" s="12">
        <v>9277245</v>
      </c>
      <c r="F377" s="13">
        <v>474</v>
      </c>
      <c r="G377">
        <v>1344</v>
      </c>
      <c r="H377" s="12">
        <v>1818</v>
      </c>
      <c r="I377" s="15">
        <f t="shared" si="27"/>
        <v>0.87281051001671295</v>
      </c>
      <c r="J377" s="15">
        <f t="shared" si="28"/>
        <v>0.12686581210262313</v>
      </c>
      <c r="K377" s="14">
        <f t="shared" si="30"/>
        <v>5.1092754368349659E-5</v>
      </c>
      <c r="L377" s="14">
        <f t="shared" si="31"/>
        <v>1.4487059466468762E-4</v>
      </c>
      <c r="M377" s="16">
        <f t="shared" si="29"/>
        <v>1.9596334903303729E-4</v>
      </c>
    </row>
    <row r="378" spans="1:13" x14ac:dyDescent="0.3">
      <c r="A378" t="s">
        <v>43</v>
      </c>
      <c r="B378" s="12">
        <v>2012</v>
      </c>
      <c r="C378" s="13">
        <v>8126314.2720000017</v>
      </c>
      <c r="D378">
        <v>1205772.523</v>
      </c>
      <c r="E378" s="12">
        <v>9333264</v>
      </c>
      <c r="F378" s="13">
        <v>562</v>
      </c>
      <c r="G378">
        <v>1597</v>
      </c>
      <c r="H378" s="12">
        <v>2159</v>
      </c>
      <c r="I378" s="15">
        <f t="shared" si="27"/>
        <v>0.87068299707369279</v>
      </c>
      <c r="J378" s="15">
        <f t="shared" si="28"/>
        <v>0.12919087288219855</v>
      </c>
      <c r="K378" s="14">
        <f t="shared" si="30"/>
        <v>6.0214733023731032E-5</v>
      </c>
      <c r="L378" s="14">
        <f t="shared" si="31"/>
        <v>1.7110841394821791E-4</v>
      </c>
      <c r="M378" s="16">
        <f t="shared" si="29"/>
        <v>2.3132314697194893E-4</v>
      </c>
    </row>
    <row r="379" spans="1:13" x14ac:dyDescent="0.3">
      <c r="A379" t="s">
        <v>32</v>
      </c>
      <c r="B379" s="12">
        <v>2016</v>
      </c>
      <c r="C379" s="13">
        <v>8169819.7270000009</v>
      </c>
      <c r="D379">
        <v>1455310.746</v>
      </c>
      <c r="E379" s="12">
        <v>9624709</v>
      </c>
      <c r="F379" s="13">
        <v>535</v>
      </c>
      <c r="G379">
        <v>1354</v>
      </c>
      <c r="H379" s="12">
        <v>1889</v>
      </c>
      <c r="I379" s="15">
        <f t="shared" si="27"/>
        <v>0.84883810274159988</v>
      </c>
      <c r="J379" s="15">
        <f t="shared" si="28"/>
        <v>0.15120568798495623</v>
      </c>
      <c r="K379" s="14">
        <f t="shared" si="30"/>
        <v>5.5586096161452776E-5</v>
      </c>
      <c r="L379" s="14">
        <f t="shared" si="31"/>
        <v>1.4067957794879825E-4</v>
      </c>
      <c r="M379" s="16">
        <f t="shared" si="29"/>
        <v>1.9626567411025101E-4</v>
      </c>
    </row>
    <row r="380" spans="1:13" x14ac:dyDescent="0.3">
      <c r="A380" t="s">
        <v>32</v>
      </c>
      <c r="B380" s="12">
        <v>2015</v>
      </c>
      <c r="C380" s="13">
        <v>8216115.3319999995</v>
      </c>
      <c r="D380">
        <v>1424742.8689999997</v>
      </c>
      <c r="E380" s="12">
        <v>9637574</v>
      </c>
      <c r="F380" s="13">
        <v>546</v>
      </c>
      <c r="G380">
        <v>1607</v>
      </c>
      <c r="H380" s="12">
        <v>2153</v>
      </c>
      <c r="I380" s="15">
        <f t="shared" si="27"/>
        <v>0.85250866369482603</v>
      </c>
      <c r="J380" s="15">
        <f t="shared" si="28"/>
        <v>0.14783210681443273</v>
      </c>
      <c r="K380" s="14">
        <f t="shared" si="30"/>
        <v>5.6653261495060897E-5</v>
      </c>
      <c r="L380" s="14">
        <f t="shared" si="31"/>
        <v>1.6674320736733125E-4</v>
      </c>
      <c r="M380" s="16">
        <f t="shared" si="29"/>
        <v>2.2339646886239214E-4</v>
      </c>
    </row>
    <row r="381" spans="1:13" x14ac:dyDescent="0.3">
      <c r="A381" t="s">
        <v>43</v>
      </c>
      <c r="B381" s="12">
        <v>2013</v>
      </c>
      <c r="C381" s="13">
        <v>8231192.9819999998</v>
      </c>
      <c r="D381">
        <v>1256150.5819999999</v>
      </c>
      <c r="E381" s="12">
        <v>9484977</v>
      </c>
      <c r="F381" s="13">
        <v>524</v>
      </c>
      <c r="G381">
        <v>1586</v>
      </c>
      <c r="H381" s="12">
        <v>2110</v>
      </c>
      <c r="I381" s="15">
        <f t="shared" si="27"/>
        <v>0.86781369970638833</v>
      </c>
      <c r="J381" s="15">
        <f t="shared" si="28"/>
        <v>0.13243580685540934</v>
      </c>
      <c r="K381" s="14">
        <f t="shared" si="30"/>
        <v>5.5245257843007948E-5</v>
      </c>
      <c r="L381" s="14">
        <f t="shared" si="31"/>
        <v>1.6721179186834085E-4</v>
      </c>
      <c r="M381" s="16">
        <f t="shared" si="29"/>
        <v>2.2245704971134879E-4</v>
      </c>
    </row>
    <row r="382" spans="1:13" x14ac:dyDescent="0.3">
      <c r="A382" t="s">
        <v>43</v>
      </c>
      <c r="B382" s="12">
        <v>2014</v>
      </c>
      <c r="C382" s="13">
        <v>8288197.6119999997</v>
      </c>
      <c r="D382">
        <v>1323965.7349999999</v>
      </c>
      <c r="E382" s="12">
        <v>9609925</v>
      </c>
      <c r="F382" s="13">
        <v>593</v>
      </c>
      <c r="G382">
        <v>1528</v>
      </c>
      <c r="H382" s="12">
        <v>2121</v>
      </c>
      <c r="I382" s="15">
        <f t="shared" si="27"/>
        <v>0.86246225771793217</v>
      </c>
      <c r="J382" s="15">
        <f t="shared" si="28"/>
        <v>0.13777066262223689</v>
      </c>
      <c r="K382" s="14">
        <f t="shared" si="30"/>
        <v>6.1707037255753818E-5</v>
      </c>
      <c r="L382" s="14">
        <f t="shared" si="31"/>
        <v>1.590022814954331E-4</v>
      </c>
      <c r="M382" s="16">
        <f t="shared" si="29"/>
        <v>2.2070931875118693E-4</v>
      </c>
    </row>
    <row r="383" spans="1:13" x14ac:dyDescent="0.3">
      <c r="A383" t="s">
        <v>32</v>
      </c>
      <c r="B383" s="12">
        <v>2014</v>
      </c>
      <c r="C383" s="13">
        <v>8342341.8890000004</v>
      </c>
      <c r="D383">
        <v>1411023.4650000001</v>
      </c>
      <c r="E383" s="12">
        <v>9750020</v>
      </c>
      <c r="F383" s="13">
        <v>553</v>
      </c>
      <c r="G383">
        <v>1553</v>
      </c>
      <c r="H383" s="12">
        <v>2106</v>
      </c>
      <c r="I383" s="15">
        <f t="shared" si="27"/>
        <v>0.85562305400399186</v>
      </c>
      <c r="J383" s="15">
        <f t="shared" si="28"/>
        <v>0.14472005852295688</v>
      </c>
      <c r="K383" s="14">
        <f t="shared" si="30"/>
        <v>5.6717832373677179E-5</v>
      </c>
      <c r="L383" s="14">
        <f t="shared" si="31"/>
        <v>1.5928172455030861E-4</v>
      </c>
      <c r="M383" s="16">
        <f t="shared" si="29"/>
        <v>2.159995569239858E-4</v>
      </c>
    </row>
    <row r="384" spans="1:13" x14ac:dyDescent="0.3">
      <c r="A384" t="s">
        <v>32</v>
      </c>
      <c r="B384" s="12">
        <v>2013</v>
      </c>
      <c r="C384" s="13">
        <v>8348557.8549999995</v>
      </c>
      <c r="D384">
        <v>1362462.2759999998</v>
      </c>
      <c r="E384" s="12">
        <v>9711943</v>
      </c>
      <c r="F384" s="13">
        <v>601</v>
      </c>
      <c r="G384">
        <v>1586</v>
      </c>
      <c r="H384" s="12">
        <v>2187</v>
      </c>
      <c r="I384" s="15">
        <f t="shared" si="27"/>
        <v>0.85961767434178715</v>
      </c>
      <c r="J384" s="15">
        <f t="shared" si="28"/>
        <v>0.14028730152143601</v>
      </c>
      <c r="K384" s="14">
        <f t="shared" si="30"/>
        <v>6.1882570768794669E-5</v>
      </c>
      <c r="L384" s="14">
        <f t="shared" si="31"/>
        <v>1.6330408858453968E-4</v>
      </c>
      <c r="M384" s="16">
        <f t="shared" si="29"/>
        <v>2.2518665935333435E-4</v>
      </c>
    </row>
    <row r="385" spans="1:13" x14ac:dyDescent="0.3">
      <c r="A385" t="s">
        <v>20</v>
      </c>
      <c r="B385" s="12">
        <v>2017</v>
      </c>
      <c r="C385" s="13">
        <v>8376989</v>
      </c>
      <c r="D385">
        <v>1205631</v>
      </c>
      <c r="E385" s="12">
        <v>9582620</v>
      </c>
      <c r="F385" s="13">
        <v>527</v>
      </c>
      <c r="G385">
        <v>1117</v>
      </c>
      <c r="H385" s="12">
        <v>1644</v>
      </c>
      <c r="I385" s="15">
        <f t="shared" si="27"/>
        <v>0.87418566112399321</v>
      </c>
      <c r="J385" s="15">
        <f t="shared" si="28"/>
        <v>0.12581433887600676</v>
      </c>
      <c r="K385" s="14">
        <f t="shared" si="30"/>
        <v>5.4995397918314616E-5</v>
      </c>
      <c r="L385" s="14">
        <f t="shared" si="31"/>
        <v>1.1656519824432149E-4</v>
      </c>
      <c r="M385" s="16">
        <f t="shared" si="29"/>
        <v>1.7156059616263609E-4</v>
      </c>
    </row>
    <row r="386" spans="1:13" x14ac:dyDescent="0.3">
      <c r="A386" t="s">
        <v>43</v>
      </c>
      <c r="B386" s="12">
        <v>2017</v>
      </c>
      <c r="C386" s="13">
        <v>8391552</v>
      </c>
      <c r="D386">
        <v>1465613</v>
      </c>
      <c r="E386" s="12">
        <v>9857165</v>
      </c>
      <c r="F386" s="13">
        <v>621</v>
      </c>
      <c r="G386">
        <v>1690</v>
      </c>
      <c r="H386" s="12">
        <v>2311</v>
      </c>
      <c r="I386" s="15">
        <f t="shared" si="27"/>
        <v>0.85131495719103822</v>
      </c>
      <c r="J386" s="15">
        <f t="shared" si="28"/>
        <v>0.1486850428089618</v>
      </c>
      <c r="K386" s="14">
        <f t="shared" si="30"/>
        <v>6.2999858478578777E-5</v>
      </c>
      <c r="L386" s="14">
        <f t="shared" si="31"/>
        <v>1.7144889022350748E-4</v>
      </c>
      <c r="M386" s="16">
        <f t="shared" si="29"/>
        <v>2.3444874870208625E-4</v>
      </c>
    </row>
    <row r="387" spans="1:13" x14ac:dyDescent="0.3">
      <c r="A387" t="s">
        <v>20</v>
      </c>
      <c r="B387" s="12">
        <v>2014</v>
      </c>
      <c r="C387" s="13">
        <v>8409035.8969999999</v>
      </c>
      <c r="D387">
        <v>1066700.2509999999</v>
      </c>
      <c r="E387" s="12">
        <v>9478952</v>
      </c>
      <c r="F387" s="13">
        <v>607</v>
      </c>
      <c r="G387">
        <v>1133</v>
      </c>
      <c r="H387" s="12">
        <v>1740</v>
      </c>
      <c r="I387" s="15">
        <f t="shared" ref="I387:I450" si="32">C387/E387</f>
        <v>0.88712717365801619</v>
      </c>
      <c r="J387" s="15">
        <f t="shared" ref="J387:J450" si="33">D387/E387</f>
        <v>0.11253356394251178</v>
      </c>
      <c r="K387" s="14">
        <f t="shared" si="30"/>
        <v>6.403661501820033E-5</v>
      </c>
      <c r="L387" s="14">
        <f t="shared" si="31"/>
        <v>1.1952798157433438E-4</v>
      </c>
      <c r="M387" s="16">
        <f t="shared" ref="M387:M450" si="34">H387/E387</f>
        <v>1.835645965925347E-4</v>
      </c>
    </row>
    <row r="388" spans="1:13" x14ac:dyDescent="0.3">
      <c r="A388" t="s">
        <v>20</v>
      </c>
      <c r="B388" s="12">
        <v>2016</v>
      </c>
      <c r="C388" s="13">
        <v>8414507.3220000006</v>
      </c>
      <c r="D388">
        <v>1158465.159</v>
      </c>
      <c r="E388" s="12">
        <v>9574997</v>
      </c>
      <c r="F388" s="13">
        <v>549</v>
      </c>
      <c r="G388">
        <v>1068</v>
      </c>
      <c r="H388" s="12">
        <v>1617</v>
      </c>
      <c r="I388" s="15">
        <f t="shared" si="32"/>
        <v>0.87879999565535116</v>
      </c>
      <c r="J388" s="15">
        <f t="shared" si="33"/>
        <v>0.12098856626273616</v>
      </c>
      <c r="K388" s="14">
        <f t="shared" si="30"/>
        <v>5.7336832585952765E-5</v>
      </c>
      <c r="L388" s="14">
        <f t="shared" si="31"/>
        <v>1.1154050492130703E-4</v>
      </c>
      <c r="M388" s="16">
        <f t="shared" si="34"/>
        <v>1.688773375072598E-4</v>
      </c>
    </row>
    <row r="389" spans="1:13" x14ac:dyDescent="0.3">
      <c r="A389" t="s">
        <v>32</v>
      </c>
      <c r="B389" s="12">
        <v>2012</v>
      </c>
      <c r="C389" s="13">
        <v>8431328.0210000016</v>
      </c>
      <c r="D389">
        <v>1348383.52</v>
      </c>
      <c r="E389" s="12">
        <v>9778449</v>
      </c>
      <c r="F389" s="13">
        <v>449</v>
      </c>
      <c r="G389">
        <v>1335</v>
      </c>
      <c r="H389" s="12">
        <v>1784</v>
      </c>
      <c r="I389" s="15">
        <f t="shared" si="32"/>
        <v>0.86223572071603605</v>
      </c>
      <c r="J389" s="15">
        <f t="shared" si="33"/>
        <v>0.13789339393190064</v>
      </c>
      <c r="K389" s="14">
        <f t="shared" si="30"/>
        <v>4.5917302427000436E-5</v>
      </c>
      <c r="L389" s="14">
        <f t="shared" si="31"/>
        <v>1.3652471879742892E-4</v>
      </c>
      <c r="M389" s="16">
        <f t="shared" si="34"/>
        <v>1.8244202122442936E-4</v>
      </c>
    </row>
    <row r="390" spans="1:13" x14ac:dyDescent="0.3">
      <c r="A390" t="s">
        <v>20</v>
      </c>
      <c r="B390" s="12">
        <v>2012</v>
      </c>
      <c r="C390" s="13">
        <v>8449073.0590000022</v>
      </c>
      <c r="D390">
        <v>1008057.1840000006</v>
      </c>
      <c r="E390" s="12">
        <v>9452262</v>
      </c>
      <c r="F390" s="13">
        <v>466</v>
      </c>
      <c r="G390">
        <v>1118</v>
      </c>
      <c r="H390" s="12">
        <v>1584</v>
      </c>
      <c r="I390" s="15">
        <f t="shared" si="32"/>
        <v>0.89386784443765965</v>
      </c>
      <c r="J390" s="15">
        <f t="shared" si="33"/>
        <v>0.1066471902704348</v>
      </c>
      <c r="K390" s="14">
        <f t="shared" si="30"/>
        <v>4.9300368525544464E-5</v>
      </c>
      <c r="L390" s="14">
        <f t="shared" si="31"/>
        <v>1.1827856654840926E-4</v>
      </c>
      <c r="M390" s="16">
        <f t="shared" si="34"/>
        <v>1.6757893507395372E-4</v>
      </c>
    </row>
    <row r="391" spans="1:13" x14ac:dyDescent="0.3">
      <c r="A391" t="s">
        <v>20</v>
      </c>
      <c r="B391" s="12">
        <v>2010</v>
      </c>
      <c r="C391" s="13">
        <v>8449250.1659999993</v>
      </c>
      <c r="D391">
        <v>962370.51300000015</v>
      </c>
      <c r="E391" s="12">
        <v>9411980</v>
      </c>
      <c r="F391" s="13">
        <v>498</v>
      </c>
      <c r="G391">
        <v>1172</v>
      </c>
      <c r="H391" s="12">
        <v>1670</v>
      </c>
      <c r="I391" s="15">
        <f t="shared" si="32"/>
        <v>0.89771229496875249</v>
      </c>
      <c r="J391" s="15">
        <f t="shared" si="33"/>
        <v>0.10224952804829592</v>
      </c>
      <c r="K391" s="14">
        <f t="shared" ref="K391:K454" si="35">F391/E391</f>
        <v>5.2911289654249156E-5</v>
      </c>
      <c r="L391" s="14">
        <f t="shared" si="31"/>
        <v>1.2452215155578315E-4</v>
      </c>
      <c r="M391" s="16">
        <f t="shared" si="34"/>
        <v>1.7743344121003233E-4</v>
      </c>
    </row>
    <row r="392" spans="1:13" x14ac:dyDescent="0.3">
      <c r="A392" t="s">
        <v>20</v>
      </c>
      <c r="B392" s="12">
        <v>2011</v>
      </c>
      <c r="C392" s="13">
        <v>8470442.4210000001</v>
      </c>
      <c r="D392">
        <v>986010.09999999986</v>
      </c>
      <c r="E392" s="12">
        <v>9455367</v>
      </c>
      <c r="F392" s="13">
        <v>435</v>
      </c>
      <c r="G392">
        <v>1173</v>
      </c>
      <c r="H392" s="12">
        <v>1608</v>
      </c>
      <c r="I392" s="15">
        <f t="shared" si="32"/>
        <v>0.89583433630868059</v>
      </c>
      <c r="J392" s="15">
        <f t="shared" si="33"/>
        <v>0.10428046843660324</v>
      </c>
      <c r="K392" s="14">
        <f t="shared" si="35"/>
        <v>4.6005617761848902E-5</v>
      </c>
      <c r="L392" s="14">
        <f t="shared" ref="L392:L455" si="36">G392/E392</f>
        <v>1.2405652789574428E-4</v>
      </c>
      <c r="M392" s="16">
        <f t="shared" si="34"/>
        <v>1.700621456575932E-4</v>
      </c>
    </row>
    <row r="393" spans="1:13" x14ac:dyDescent="0.3">
      <c r="A393" t="s">
        <v>20</v>
      </c>
      <c r="B393" s="12">
        <v>2015</v>
      </c>
      <c r="C393" s="13">
        <v>8501038.2549999971</v>
      </c>
      <c r="D393">
        <v>1131307.0190000001</v>
      </c>
      <c r="E393" s="12">
        <v>9631395</v>
      </c>
      <c r="F393" s="13">
        <v>601</v>
      </c>
      <c r="G393">
        <v>1159</v>
      </c>
      <c r="H393" s="12">
        <v>1760</v>
      </c>
      <c r="I393" s="15">
        <f t="shared" si="32"/>
        <v>0.88263831511426927</v>
      </c>
      <c r="J393" s="15">
        <f t="shared" si="33"/>
        <v>0.11746034909792404</v>
      </c>
      <c r="K393" s="14">
        <f t="shared" si="35"/>
        <v>6.2400098843417797E-5</v>
      </c>
      <c r="L393" s="14">
        <f t="shared" si="36"/>
        <v>1.2033563154662434E-4</v>
      </c>
      <c r="M393" s="16">
        <f t="shared" si="34"/>
        <v>1.8273573039004215E-4</v>
      </c>
    </row>
    <row r="394" spans="1:13" x14ac:dyDescent="0.3">
      <c r="A394" t="s">
        <v>20</v>
      </c>
      <c r="B394" s="12">
        <v>2013</v>
      </c>
      <c r="C394" s="13">
        <v>8527149.3439999986</v>
      </c>
      <c r="D394">
        <v>1063965.2519999999</v>
      </c>
      <c r="E394" s="12">
        <v>9590792</v>
      </c>
      <c r="F394" s="13">
        <v>615</v>
      </c>
      <c r="G394">
        <v>1156</v>
      </c>
      <c r="H394" s="12">
        <v>1771</v>
      </c>
      <c r="I394" s="15">
        <f t="shared" si="32"/>
        <v>0.88909751603412923</v>
      </c>
      <c r="J394" s="15">
        <f t="shared" si="33"/>
        <v>0.11093611997841261</v>
      </c>
      <c r="K394" s="14">
        <f t="shared" si="35"/>
        <v>6.4124005608713023E-5</v>
      </c>
      <c r="L394" s="14">
        <f t="shared" si="36"/>
        <v>1.2053227720922318E-4</v>
      </c>
      <c r="M394" s="16">
        <f t="shared" si="34"/>
        <v>1.846562828179362E-4</v>
      </c>
    </row>
    <row r="395" spans="1:13" x14ac:dyDescent="0.3">
      <c r="A395" t="s">
        <v>32</v>
      </c>
      <c r="B395" s="12">
        <v>2011</v>
      </c>
      <c r="C395" s="13">
        <v>8535682.0439999998</v>
      </c>
      <c r="D395">
        <v>1327198.3290000001</v>
      </c>
      <c r="E395" s="12">
        <v>9857189</v>
      </c>
      <c r="F395" s="13">
        <v>511</v>
      </c>
      <c r="G395">
        <v>1465</v>
      </c>
      <c r="H395" s="12">
        <v>1976</v>
      </c>
      <c r="I395" s="15">
        <f t="shared" si="32"/>
        <v>0.86593470450855714</v>
      </c>
      <c r="J395" s="15">
        <f t="shared" si="33"/>
        <v>0.13464267845528782</v>
      </c>
      <c r="K395" s="14">
        <f t="shared" si="35"/>
        <v>5.1840337037262857E-5</v>
      </c>
      <c r="L395" s="14">
        <f t="shared" si="36"/>
        <v>1.4862249268021542E-4</v>
      </c>
      <c r="M395" s="16">
        <f t="shared" si="34"/>
        <v>2.0046282971747828E-4</v>
      </c>
    </row>
    <row r="396" spans="1:13" x14ac:dyDescent="0.3">
      <c r="A396" t="s">
        <v>20</v>
      </c>
      <c r="B396" s="12">
        <v>2009</v>
      </c>
      <c r="C396" s="13">
        <v>8549363.2079999987</v>
      </c>
      <c r="D396">
        <v>946398.88800000004</v>
      </c>
      <c r="E396" s="12">
        <v>9497667</v>
      </c>
      <c r="F396" s="13">
        <v>537</v>
      </c>
      <c r="G396">
        <v>1164</v>
      </c>
      <c r="H396" s="12">
        <v>1701</v>
      </c>
      <c r="I396" s="15">
        <f t="shared" si="32"/>
        <v>0.9001540281418583</v>
      </c>
      <c r="J396" s="15">
        <f t="shared" si="33"/>
        <v>9.9645406392959449E-2</v>
      </c>
      <c r="K396" s="14">
        <f t="shared" si="35"/>
        <v>5.6540200872487952E-5</v>
      </c>
      <c r="L396" s="14">
        <f t="shared" si="36"/>
        <v>1.2255641306438728E-4</v>
      </c>
      <c r="M396" s="16">
        <f t="shared" si="34"/>
        <v>1.7909661393687522E-4</v>
      </c>
    </row>
    <row r="397" spans="1:13" x14ac:dyDescent="0.3">
      <c r="A397" t="s">
        <v>32</v>
      </c>
      <c r="B397" s="12">
        <v>2010</v>
      </c>
      <c r="C397" s="13">
        <v>8625271.3869999982</v>
      </c>
      <c r="D397">
        <v>1313897.5009999997</v>
      </c>
      <c r="E397" s="12">
        <v>9937232</v>
      </c>
      <c r="F397" s="13">
        <v>463</v>
      </c>
      <c r="G397">
        <v>1276</v>
      </c>
      <c r="H397" s="12">
        <v>1739</v>
      </c>
      <c r="I397" s="15">
        <f t="shared" si="32"/>
        <v>0.86797524572234985</v>
      </c>
      <c r="J397" s="15">
        <f t="shared" si="33"/>
        <v>0.13221966650270414</v>
      </c>
      <c r="K397" s="14">
        <f t="shared" si="35"/>
        <v>4.6592451499572515E-5</v>
      </c>
      <c r="L397" s="14">
        <f t="shared" si="36"/>
        <v>1.2840597864677004E-4</v>
      </c>
      <c r="M397" s="16">
        <f t="shared" si="34"/>
        <v>1.7499843014634256E-4</v>
      </c>
    </row>
    <row r="398" spans="1:13" x14ac:dyDescent="0.3">
      <c r="A398" t="s">
        <v>32</v>
      </c>
      <c r="B398" s="12">
        <v>2009</v>
      </c>
      <c r="C398" s="13">
        <v>8721894.353000002</v>
      </c>
      <c r="D398">
        <v>1283330.4540000001</v>
      </c>
      <c r="E398" s="12">
        <v>10008213</v>
      </c>
      <c r="F398" s="13">
        <v>570</v>
      </c>
      <c r="G398">
        <v>1293</v>
      </c>
      <c r="H398" s="12">
        <v>1863</v>
      </c>
      <c r="I398" s="15">
        <f t="shared" si="32"/>
        <v>0.87147369395515484</v>
      </c>
      <c r="J398" s="15">
        <f t="shared" si="33"/>
        <v>0.12822773196373818</v>
      </c>
      <c r="K398" s="14">
        <f t="shared" si="35"/>
        <v>5.6953224316868555E-5</v>
      </c>
      <c r="L398" s="14">
        <f t="shared" si="36"/>
        <v>1.291938930556334E-4</v>
      </c>
      <c r="M398" s="16">
        <f t="shared" si="34"/>
        <v>1.8614711737250197E-4</v>
      </c>
    </row>
    <row r="399" spans="1:13" x14ac:dyDescent="0.3">
      <c r="A399" t="s">
        <v>45</v>
      </c>
      <c r="B399" s="12">
        <v>2015</v>
      </c>
      <c r="C399" s="13">
        <v>9297875.7829999998</v>
      </c>
      <c r="D399">
        <v>1651537.3539999998</v>
      </c>
      <c r="E399" s="12">
        <v>10951050</v>
      </c>
      <c r="F399" s="13">
        <v>581</v>
      </c>
      <c r="G399">
        <v>2093</v>
      </c>
      <c r="H399" s="12">
        <v>2674</v>
      </c>
      <c r="I399" s="15">
        <f t="shared" si="32"/>
        <v>0.84903966131101583</v>
      </c>
      <c r="J399" s="15">
        <f t="shared" si="33"/>
        <v>0.1508108678163281</v>
      </c>
      <c r="K399" s="14">
        <f t="shared" si="35"/>
        <v>5.3054273334520434E-5</v>
      </c>
      <c r="L399" s="14">
        <f t="shared" si="36"/>
        <v>1.9112322562676639E-4</v>
      </c>
      <c r="M399" s="16">
        <f t="shared" si="34"/>
        <v>2.4417749896128683E-4</v>
      </c>
    </row>
    <row r="400" spans="1:13" x14ac:dyDescent="0.3">
      <c r="A400" t="s">
        <v>45</v>
      </c>
      <c r="B400" s="12">
        <v>2017</v>
      </c>
      <c r="C400" s="13">
        <v>9381108</v>
      </c>
      <c r="D400">
        <v>1768644</v>
      </c>
      <c r="E400" s="12">
        <v>11149752</v>
      </c>
      <c r="F400" s="13">
        <v>650</v>
      </c>
      <c r="G400">
        <v>1888</v>
      </c>
      <c r="H400" s="12">
        <v>2538</v>
      </c>
      <c r="I400" s="15">
        <f t="shared" si="32"/>
        <v>0.84137369154040376</v>
      </c>
      <c r="J400" s="15">
        <f t="shared" si="33"/>
        <v>0.15862630845959624</v>
      </c>
      <c r="K400" s="14">
        <f t="shared" si="35"/>
        <v>5.8297260782123226E-5</v>
      </c>
      <c r="L400" s="14">
        <f t="shared" si="36"/>
        <v>1.6933112054869022E-4</v>
      </c>
      <c r="M400" s="16">
        <f t="shared" si="34"/>
        <v>2.2762838133081345E-4</v>
      </c>
    </row>
    <row r="401" spans="1:13" x14ac:dyDescent="0.3">
      <c r="A401" t="s">
        <v>45</v>
      </c>
      <c r="B401" s="12">
        <v>2016</v>
      </c>
      <c r="C401" s="13">
        <v>9432072.9370000008</v>
      </c>
      <c r="D401">
        <v>1729472.8599999996</v>
      </c>
      <c r="E401" s="12">
        <v>11161098</v>
      </c>
      <c r="F401" s="13">
        <v>576</v>
      </c>
      <c r="G401">
        <v>1773</v>
      </c>
      <c r="H401" s="12">
        <v>2349</v>
      </c>
      <c r="I401" s="15">
        <f t="shared" si="32"/>
        <v>0.84508468046781782</v>
      </c>
      <c r="J401" s="15">
        <f t="shared" si="33"/>
        <v>0.15495544076398216</v>
      </c>
      <c r="K401" s="14">
        <f t="shared" si="35"/>
        <v>5.1607825681666806E-5</v>
      </c>
      <c r="L401" s="14">
        <f t="shared" si="36"/>
        <v>1.5885533842638062E-4</v>
      </c>
      <c r="M401" s="16">
        <f t="shared" si="34"/>
        <v>2.1046316410804744E-4</v>
      </c>
    </row>
    <row r="402" spans="1:13" x14ac:dyDescent="0.3">
      <c r="A402" t="s">
        <v>45</v>
      </c>
      <c r="B402" s="12">
        <v>2013</v>
      </c>
      <c r="C402" s="13">
        <v>9541903.550999999</v>
      </c>
      <c r="D402">
        <v>1604505.2920000006</v>
      </c>
      <c r="E402" s="12">
        <v>11150834</v>
      </c>
      <c r="F402" s="13">
        <v>580</v>
      </c>
      <c r="G402">
        <v>2005</v>
      </c>
      <c r="H402" s="12">
        <v>2585</v>
      </c>
      <c r="I402" s="15">
        <f t="shared" si="32"/>
        <v>0.85571209749871613</v>
      </c>
      <c r="J402" s="15">
        <f t="shared" si="33"/>
        <v>0.14389105711734212</v>
      </c>
      <c r="K402" s="14">
        <f t="shared" si="35"/>
        <v>5.2014046662339337E-5</v>
      </c>
      <c r="L402" s="14">
        <f t="shared" si="36"/>
        <v>1.7980717854825925E-4</v>
      </c>
      <c r="M402" s="16">
        <f t="shared" si="34"/>
        <v>2.318212252105986E-4</v>
      </c>
    </row>
    <row r="403" spans="1:13" x14ac:dyDescent="0.3">
      <c r="A403" t="s">
        <v>45</v>
      </c>
      <c r="B403" s="12">
        <v>2014</v>
      </c>
      <c r="C403" s="13">
        <v>9741605.3850000016</v>
      </c>
      <c r="D403">
        <v>1676773.115</v>
      </c>
      <c r="E403" s="12">
        <v>11418726</v>
      </c>
      <c r="F403" s="13">
        <v>676</v>
      </c>
      <c r="G403">
        <v>2025</v>
      </c>
      <c r="H403" s="12">
        <v>2701</v>
      </c>
      <c r="I403" s="15">
        <f t="shared" si="32"/>
        <v>0.85312541740646042</v>
      </c>
      <c r="J403" s="15">
        <f t="shared" si="33"/>
        <v>0.14684415012673041</v>
      </c>
      <c r="K403" s="14">
        <f t="shared" si="35"/>
        <v>5.9201000181631468E-5</v>
      </c>
      <c r="L403" s="14">
        <f t="shared" si="36"/>
        <v>1.773402742127274E-4</v>
      </c>
      <c r="M403" s="16">
        <f t="shared" si="34"/>
        <v>2.3654127439435888E-4</v>
      </c>
    </row>
    <row r="404" spans="1:13" x14ac:dyDescent="0.3">
      <c r="A404" t="s">
        <v>45</v>
      </c>
      <c r="B404" s="12">
        <v>2012</v>
      </c>
      <c r="C404" s="13">
        <v>9793531.352</v>
      </c>
      <c r="D404">
        <v>1617638.649</v>
      </c>
      <c r="E404" s="12">
        <v>11411140</v>
      </c>
      <c r="F404" s="13">
        <v>561</v>
      </c>
      <c r="G404">
        <v>1881</v>
      </c>
      <c r="H404" s="12">
        <v>2442</v>
      </c>
      <c r="I404" s="15">
        <f t="shared" si="32"/>
        <v>0.85824302847918787</v>
      </c>
      <c r="J404" s="15">
        <f t="shared" si="33"/>
        <v>0.14175960061834311</v>
      </c>
      <c r="K404" s="14">
        <f t="shared" si="35"/>
        <v>4.9162485080368832E-5</v>
      </c>
      <c r="L404" s="14">
        <f t="shared" si="36"/>
        <v>1.6483892056358963E-4</v>
      </c>
      <c r="M404" s="16">
        <f t="shared" si="34"/>
        <v>2.1400140564395846E-4</v>
      </c>
    </row>
    <row r="405" spans="1:13" x14ac:dyDescent="0.3">
      <c r="A405" t="s">
        <v>45</v>
      </c>
      <c r="B405" s="12">
        <v>2011</v>
      </c>
      <c r="C405" s="13">
        <v>9830890.0669999979</v>
      </c>
      <c r="D405">
        <v>1588728.8089999997</v>
      </c>
      <c r="E405" s="12">
        <v>11424081</v>
      </c>
      <c r="F405" s="13">
        <v>602</v>
      </c>
      <c r="G405">
        <v>1892</v>
      </c>
      <c r="H405" s="12">
        <v>2494</v>
      </c>
      <c r="I405" s="15">
        <f t="shared" si="32"/>
        <v>0.86054099817744623</v>
      </c>
      <c r="J405" s="15">
        <f t="shared" si="33"/>
        <v>0.13906841250512839</v>
      </c>
      <c r="K405" s="14">
        <f t="shared" si="35"/>
        <v>5.2695704801112664E-5</v>
      </c>
      <c r="L405" s="14">
        <f t="shared" si="36"/>
        <v>1.656150722320684E-4</v>
      </c>
      <c r="M405" s="16">
        <f t="shared" si="34"/>
        <v>2.1831077703318106E-4</v>
      </c>
    </row>
    <row r="406" spans="1:13" x14ac:dyDescent="0.3">
      <c r="A406" t="s">
        <v>45</v>
      </c>
      <c r="B406" s="12">
        <v>2010</v>
      </c>
      <c r="C406" s="13">
        <v>9864773.4079999998</v>
      </c>
      <c r="D406">
        <v>1573845.7209999999</v>
      </c>
      <c r="E406" s="12">
        <v>11441027</v>
      </c>
      <c r="F406" s="13">
        <v>525</v>
      </c>
      <c r="G406">
        <v>1669</v>
      </c>
      <c r="H406" s="12">
        <v>2194</v>
      </c>
      <c r="I406" s="15">
        <f t="shared" si="32"/>
        <v>0.86222796327637363</v>
      </c>
      <c r="J406" s="15">
        <f t="shared" si="33"/>
        <v>0.13756157738286956</v>
      </c>
      <c r="K406" s="14">
        <f t="shared" si="35"/>
        <v>4.5887488946577958E-5</v>
      </c>
      <c r="L406" s="14">
        <f t="shared" si="36"/>
        <v>1.4587851247969261E-4</v>
      </c>
      <c r="M406" s="16">
        <f t="shared" si="34"/>
        <v>1.9176600142627057E-4</v>
      </c>
    </row>
    <row r="407" spans="1:13" x14ac:dyDescent="0.3">
      <c r="A407" t="s">
        <v>45</v>
      </c>
      <c r="B407" s="12">
        <v>2009</v>
      </c>
      <c r="C407" s="13">
        <v>9890511.2540000025</v>
      </c>
      <c r="D407">
        <v>1557289.4500000002</v>
      </c>
      <c r="E407" s="12">
        <v>11448785</v>
      </c>
      <c r="F407" s="13">
        <v>658</v>
      </c>
      <c r="G407">
        <v>1640</v>
      </c>
      <c r="H407" s="12">
        <v>2298</v>
      </c>
      <c r="I407" s="15">
        <f t="shared" si="32"/>
        <v>0.86389178013212775</v>
      </c>
      <c r="J407" s="15">
        <f t="shared" si="33"/>
        <v>0.13602224602872709</v>
      </c>
      <c r="K407" s="14">
        <f t="shared" si="35"/>
        <v>5.7473347608501686E-5</v>
      </c>
      <c r="L407" s="14">
        <f t="shared" si="36"/>
        <v>1.4324664145584008E-4</v>
      </c>
      <c r="M407" s="16">
        <f t="shared" si="34"/>
        <v>2.0071998906434177E-4</v>
      </c>
    </row>
    <row r="408" spans="1:13" x14ac:dyDescent="0.3">
      <c r="A408" t="s">
        <v>48</v>
      </c>
      <c r="B408" s="12">
        <v>2015</v>
      </c>
      <c r="C408" s="13">
        <v>10415597.487</v>
      </c>
      <c r="D408">
        <v>2008134.3689999999</v>
      </c>
      <c r="E408" s="12">
        <v>12416464</v>
      </c>
      <c r="F408" s="13">
        <v>597</v>
      </c>
      <c r="G408">
        <v>2560</v>
      </c>
      <c r="H408" s="12">
        <v>3157</v>
      </c>
      <c r="I408" s="15">
        <f t="shared" si="32"/>
        <v>0.83885375796200912</v>
      </c>
      <c r="J408" s="15">
        <f t="shared" si="33"/>
        <v>0.1617315822765644</v>
      </c>
      <c r="K408" s="14">
        <f t="shared" si="35"/>
        <v>4.8081321703183775E-5</v>
      </c>
      <c r="L408" s="14">
        <f t="shared" si="36"/>
        <v>2.0617786190979976E-4</v>
      </c>
      <c r="M408" s="16">
        <f t="shared" si="34"/>
        <v>2.5425918361298355E-4</v>
      </c>
    </row>
    <row r="409" spans="1:13" x14ac:dyDescent="0.3">
      <c r="A409" t="s">
        <v>48</v>
      </c>
      <c r="B409" s="12">
        <v>2014</v>
      </c>
      <c r="C409" s="13">
        <v>10511177.699000001</v>
      </c>
      <c r="D409">
        <v>2002341.2349999999</v>
      </c>
      <c r="E409" s="12">
        <v>12509418</v>
      </c>
      <c r="F409" s="13">
        <v>655</v>
      </c>
      <c r="G409">
        <v>2163</v>
      </c>
      <c r="H409" s="12">
        <v>2818</v>
      </c>
      <c r="I409" s="15">
        <f t="shared" si="32"/>
        <v>0.84026112957453347</v>
      </c>
      <c r="J409" s="15">
        <f t="shared" si="33"/>
        <v>0.16006669814694816</v>
      </c>
      <c r="K409" s="14">
        <f t="shared" si="35"/>
        <v>5.2360549467609121E-5</v>
      </c>
      <c r="L409" s="14">
        <f t="shared" si="36"/>
        <v>1.7290972289837946E-4</v>
      </c>
      <c r="M409" s="16">
        <f t="shared" si="34"/>
        <v>2.2527027236598856E-4</v>
      </c>
    </row>
    <row r="410" spans="1:13" x14ac:dyDescent="0.3">
      <c r="A410" t="s">
        <v>48</v>
      </c>
      <c r="B410" s="12">
        <v>2017</v>
      </c>
      <c r="C410" s="13">
        <v>10575062</v>
      </c>
      <c r="D410">
        <v>2171552</v>
      </c>
      <c r="E410" s="12">
        <v>12746614</v>
      </c>
      <c r="F410" s="13">
        <v>598</v>
      </c>
      <c r="G410">
        <v>2393</v>
      </c>
      <c r="H410" s="12">
        <v>2991</v>
      </c>
      <c r="I410" s="15">
        <f t="shared" si="32"/>
        <v>0.82963695299787066</v>
      </c>
      <c r="J410" s="15">
        <f t="shared" si="33"/>
        <v>0.17036304700212934</v>
      </c>
      <c r="K410" s="14">
        <f t="shared" si="35"/>
        <v>4.6914419782382993E-5</v>
      </c>
      <c r="L410" s="14">
        <f t="shared" si="36"/>
        <v>1.8773613133652592E-4</v>
      </c>
      <c r="M410" s="16">
        <f t="shared" si="34"/>
        <v>2.346505511189089E-4</v>
      </c>
    </row>
    <row r="411" spans="1:13" x14ac:dyDescent="0.3">
      <c r="A411" t="s">
        <v>48</v>
      </c>
      <c r="B411" s="12">
        <v>2011</v>
      </c>
      <c r="C411" s="13">
        <v>10583704.679</v>
      </c>
      <c r="D411">
        <v>1916881.5499999996</v>
      </c>
      <c r="E411" s="12">
        <v>12505696</v>
      </c>
      <c r="F411" s="13">
        <v>568</v>
      </c>
      <c r="G411">
        <v>2426</v>
      </c>
      <c r="H411" s="12">
        <v>2994</v>
      </c>
      <c r="I411" s="15">
        <f t="shared" si="32"/>
        <v>0.84631072744771663</v>
      </c>
      <c r="J411" s="15">
        <f t="shared" si="33"/>
        <v>0.15328067706107679</v>
      </c>
      <c r="K411" s="14">
        <f t="shared" si="35"/>
        <v>4.541930333185774E-5</v>
      </c>
      <c r="L411" s="14">
        <f t="shared" si="36"/>
        <v>1.939916019068431E-4</v>
      </c>
      <c r="M411" s="16">
        <f t="shared" si="34"/>
        <v>2.3941090523870083E-4</v>
      </c>
    </row>
    <row r="412" spans="1:13" x14ac:dyDescent="0.3">
      <c r="A412" t="s">
        <v>48</v>
      </c>
      <c r="B412" s="12">
        <v>2016</v>
      </c>
      <c r="C412" s="13">
        <v>10585143.717000002</v>
      </c>
      <c r="D412">
        <v>2113827.5100000002</v>
      </c>
      <c r="E412" s="12">
        <v>12694911</v>
      </c>
      <c r="F412" s="13">
        <v>539</v>
      </c>
      <c r="G412">
        <v>2171</v>
      </c>
      <c r="H412" s="12">
        <v>2710</v>
      </c>
      <c r="I412" s="15">
        <f t="shared" si="32"/>
        <v>0.83380999811656831</v>
      </c>
      <c r="J412" s="15">
        <f t="shared" si="33"/>
        <v>0.16650983295589863</v>
      </c>
      <c r="K412" s="14">
        <f t="shared" si="35"/>
        <v>4.2457958153467954E-5</v>
      </c>
      <c r="L412" s="14">
        <f t="shared" si="36"/>
        <v>1.7101340844374567E-4</v>
      </c>
      <c r="M412" s="16">
        <f t="shared" si="34"/>
        <v>2.1347136659721365E-4</v>
      </c>
    </row>
    <row r="413" spans="1:13" x14ac:dyDescent="0.3">
      <c r="A413" t="s">
        <v>48</v>
      </c>
      <c r="B413" s="12">
        <v>2009</v>
      </c>
      <c r="C413" s="13">
        <v>10600518.207</v>
      </c>
      <c r="D413">
        <v>1915620.656</v>
      </c>
      <c r="E413" s="12">
        <v>12516596</v>
      </c>
      <c r="F413" s="13">
        <v>587</v>
      </c>
      <c r="G413">
        <v>2188</v>
      </c>
      <c r="H413" s="12">
        <v>2775</v>
      </c>
      <c r="I413" s="15">
        <f t="shared" si="32"/>
        <v>0.84691702176853834</v>
      </c>
      <c r="J413" s="15">
        <f t="shared" si="33"/>
        <v>0.15304645576161441</v>
      </c>
      <c r="K413" s="14">
        <f t="shared" si="35"/>
        <v>4.6897734815440234E-5</v>
      </c>
      <c r="L413" s="14">
        <f t="shared" si="36"/>
        <v>1.7480791103268014E-4</v>
      </c>
      <c r="M413" s="16">
        <f t="shared" si="34"/>
        <v>2.2170564584812036E-4</v>
      </c>
    </row>
    <row r="414" spans="1:13" x14ac:dyDescent="0.3">
      <c r="A414" t="s">
        <v>48</v>
      </c>
      <c r="B414" s="12">
        <v>2013</v>
      </c>
      <c r="C414" s="13">
        <v>10607822.103</v>
      </c>
      <c r="D414">
        <v>1975531.5000000002</v>
      </c>
      <c r="E414" s="12">
        <v>12582017</v>
      </c>
      <c r="F414" s="13">
        <v>581</v>
      </c>
      <c r="G414">
        <v>2536</v>
      </c>
      <c r="H414" s="12">
        <v>3117</v>
      </c>
      <c r="I414" s="15">
        <f t="shared" si="32"/>
        <v>0.84309392548110529</v>
      </c>
      <c r="J414" s="15">
        <f t="shared" si="33"/>
        <v>0.1570123057376254</v>
      </c>
      <c r="K414" s="14">
        <f t="shared" si="35"/>
        <v>4.6177015974465777E-5</v>
      </c>
      <c r="L414" s="14">
        <f t="shared" si="36"/>
        <v>2.0155750862520692E-4</v>
      </c>
      <c r="M414" s="16">
        <f t="shared" si="34"/>
        <v>2.4773452459967267E-4</v>
      </c>
    </row>
    <row r="415" spans="1:13" x14ac:dyDescent="0.3">
      <c r="A415" t="s">
        <v>48</v>
      </c>
      <c r="B415" s="12">
        <v>2010</v>
      </c>
      <c r="C415" s="13">
        <v>10636124.482999999</v>
      </c>
      <c r="D415">
        <v>1919785.4130000002</v>
      </c>
      <c r="E415" s="12">
        <v>12554832</v>
      </c>
      <c r="F415" s="13">
        <v>553</v>
      </c>
      <c r="G415">
        <v>2047</v>
      </c>
      <c r="H415" s="12">
        <v>2600</v>
      </c>
      <c r="I415" s="15">
        <f t="shared" si="32"/>
        <v>0.84717378002350008</v>
      </c>
      <c r="J415" s="15">
        <f t="shared" si="33"/>
        <v>0.15291207504807713</v>
      </c>
      <c r="K415" s="14">
        <f t="shared" si="35"/>
        <v>4.4046786129834316E-5</v>
      </c>
      <c r="L415" s="14">
        <f t="shared" si="36"/>
        <v>1.630447942274337E-4</v>
      </c>
      <c r="M415" s="16">
        <f t="shared" si="34"/>
        <v>2.0709158035726803E-4</v>
      </c>
    </row>
    <row r="416" spans="1:13" x14ac:dyDescent="0.3">
      <c r="A416" t="s">
        <v>48</v>
      </c>
      <c r="B416" s="12">
        <v>2012</v>
      </c>
      <c r="C416" s="13">
        <v>10663272.944999998</v>
      </c>
      <c r="D416">
        <v>1959631.0050000004</v>
      </c>
      <c r="E416" s="12">
        <v>12620483</v>
      </c>
      <c r="F416" s="13">
        <v>482</v>
      </c>
      <c r="G416">
        <v>2112</v>
      </c>
      <c r="H416" s="12">
        <v>2594</v>
      </c>
      <c r="I416" s="15">
        <f t="shared" si="32"/>
        <v>0.84491797540553704</v>
      </c>
      <c r="J416" s="15">
        <f t="shared" si="33"/>
        <v>0.15527385164260357</v>
      </c>
      <c r="K416" s="14">
        <f t="shared" si="35"/>
        <v>3.8191882196584712E-5</v>
      </c>
      <c r="L416" s="14">
        <f t="shared" si="36"/>
        <v>1.6734700248793963E-4</v>
      </c>
      <c r="M416" s="16">
        <f t="shared" si="34"/>
        <v>2.0553888468452435E-4</v>
      </c>
    </row>
    <row r="417" spans="1:13" x14ac:dyDescent="0.3">
      <c r="A417" t="s">
        <v>23</v>
      </c>
      <c r="B417" s="12">
        <v>2017</v>
      </c>
      <c r="C417" s="13">
        <v>10717398</v>
      </c>
      <c r="D417">
        <v>1773763</v>
      </c>
      <c r="E417" s="12">
        <v>12491161</v>
      </c>
      <c r="F417" s="13">
        <v>575</v>
      </c>
      <c r="G417">
        <v>2026</v>
      </c>
      <c r="H417" s="12">
        <v>2601</v>
      </c>
      <c r="I417" s="15">
        <f t="shared" si="32"/>
        <v>0.85799854793321451</v>
      </c>
      <c r="J417" s="15">
        <f t="shared" si="33"/>
        <v>0.14200145206678547</v>
      </c>
      <c r="K417" s="14">
        <f t="shared" si="35"/>
        <v>4.603255053713582E-5</v>
      </c>
      <c r="L417" s="14">
        <f t="shared" si="36"/>
        <v>1.6219469110997768E-4</v>
      </c>
      <c r="M417" s="16">
        <f t="shared" si="34"/>
        <v>2.0822724164711352E-4</v>
      </c>
    </row>
    <row r="418" spans="1:13" x14ac:dyDescent="0.3">
      <c r="A418" t="s">
        <v>23</v>
      </c>
      <c r="B418" s="12">
        <v>2015</v>
      </c>
      <c r="C418" s="13">
        <v>10843197.757999999</v>
      </c>
      <c r="D418">
        <v>1667285.6799999997</v>
      </c>
      <c r="E418" s="12">
        <v>12514525</v>
      </c>
      <c r="F418" s="13">
        <v>573</v>
      </c>
      <c r="G418">
        <v>1997</v>
      </c>
      <c r="H418" s="12">
        <v>2570</v>
      </c>
      <c r="I418" s="15">
        <f t="shared" si="32"/>
        <v>0.86644900689398918</v>
      </c>
      <c r="J418" s="15">
        <f t="shared" si="33"/>
        <v>0.13322804341355343</v>
      </c>
      <c r="K418" s="14">
        <f t="shared" si="35"/>
        <v>4.5786795743346234E-5</v>
      </c>
      <c r="L418" s="14">
        <f t="shared" si="36"/>
        <v>1.5957457434461156E-4</v>
      </c>
      <c r="M418" s="16">
        <f t="shared" si="34"/>
        <v>2.053613700879578E-4</v>
      </c>
    </row>
    <row r="419" spans="1:13" x14ac:dyDescent="0.3">
      <c r="A419" t="s">
        <v>23</v>
      </c>
      <c r="B419" s="12">
        <v>2016</v>
      </c>
      <c r="C419" s="13">
        <v>10868056.310000002</v>
      </c>
      <c r="D419">
        <v>1741843.075</v>
      </c>
      <c r="E419" s="12">
        <v>12613152</v>
      </c>
      <c r="F419" s="13">
        <v>603</v>
      </c>
      <c r="G419">
        <v>1799</v>
      </c>
      <c r="H419" s="12">
        <v>2402</v>
      </c>
      <c r="I419" s="15">
        <f t="shared" si="32"/>
        <v>0.86164475858215317</v>
      </c>
      <c r="J419" s="15">
        <f t="shared" si="33"/>
        <v>0.13809736654247884</v>
      </c>
      <c r="K419" s="14">
        <f t="shared" si="35"/>
        <v>4.7807241203467618E-5</v>
      </c>
      <c r="L419" s="14">
        <f t="shared" si="36"/>
        <v>1.4262890037319774E-4</v>
      </c>
      <c r="M419" s="16">
        <f t="shared" si="34"/>
        <v>1.9043614157666537E-4</v>
      </c>
    </row>
    <row r="420" spans="1:13" x14ac:dyDescent="0.3">
      <c r="A420" t="s">
        <v>23</v>
      </c>
      <c r="B420" s="12">
        <v>2014</v>
      </c>
      <c r="C420" s="13">
        <v>10921971.859999996</v>
      </c>
      <c r="D420">
        <v>1630702.03</v>
      </c>
      <c r="E420" s="12">
        <v>12558195</v>
      </c>
      <c r="F420" s="13">
        <v>621</v>
      </c>
      <c r="G420">
        <v>2125</v>
      </c>
      <c r="H420" s="12">
        <v>2746</v>
      </c>
      <c r="I420" s="15">
        <f t="shared" si="32"/>
        <v>0.86970873282346672</v>
      </c>
      <c r="J420" s="15">
        <f t="shared" si="33"/>
        <v>0.12985162517384066</v>
      </c>
      <c r="K420" s="14">
        <f t="shared" si="35"/>
        <v>4.9449781596797944E-5</v>
      </c>
      <c r="L420" s="14">
        <f t="shared" si="36"/>
        <v>1.692122156090107E-4</v>
      </c>
      <c r="M420" s="16">
        <f t="shared" si="34"/>
        <v>2.1866199720580864E-4</v>
      </c>
    </row>
    <row r="421" spans="1:13" x14ac:dyDescent="0.3">
      <c r="A421" t="s">
        <v>23</v>
      </c>
      <c r="B421" s="12">
        <v>2013</v>
      </c>
      <c r="C421" s="13">
        <v>10967942.179000001</v>
      </c>
      <c r="D421">
        <v>1605856.5229999998</v>
      </c>
      <c r="E421" s="12">
        <v>12580101</v>
      </c>
      <c r="F421" s="13">
        <v>573</v>
      </c>
      <c r="G421">
        <v>2122</v>
      </c>
      <c r="H421" s="12">
        <v>2695</v>
      </c>
      <c r="I421" s="15">
        <f t="shared" si="32"/>
        <v>0.87184849938804154</v>
      </c>
      <c r="J421" s="15">
        <f t="shared" si="33"/>
        <v>0.12765052705061747</v>
      </c>
      <c r="K421" s="14">
        <f t="shared" si="35"/>
        <v>4.5548123977700974E-5</v>
      </c>
      <c r="L421" s="14">
        <f t="shared" si="36"/>
        <v>1.6867909089124167E-4</v>
      </c>
      <c r="M421" s="16">
        <f t="shared" si="34"/>
        <v>2.1422721486894262E-4</v>
      </c>
    </row>
    <row r="422" spans="1:13" x14ac:dyDescent="0.3">
      <c r="A422" t="s">
        <v>23</v>
      </c>
      <c r="B422" s="12">
        <v>2011</v>
      </c>
      <c r="C422" s="13">
        <v>11030582.355999999</v>
      </c>
      <c r="D422">
        <v>1559619.9859999996</v>
      </c>
      <c r="E422" s="12">
        <v>12597962</v>
      </c>
      <c r="F422" s="13">
        <v>631</v>
      </c>
      <c r="G422">
        <v>2049</v>
      </c>
      <c r="H422" s="12">
        <v>2680</v>
      </c>
      <c r="I422" s="15">
        <f t="shared" si="32"/>
        <v>0.87558466647224353</v>
      </c>
      <c r="J422" s="15">
        <f t="shared" si="33"/>
        <v>0.12379938802800006</v>
      </c>
      <c r="K422" s="14">
        <f t="shared" si="35"/>
        <v>5.0087466528316247E-5</v>
      </c>
      <c r="L422" s="14">
        <f t="shared" si="36"/>
        <v>1.6264535485977812E-4</v>
      </c>
      <c r="M422" s="16">
        <f t="shared" si="34"/>
        <v>2.1273282138809435E-4</v>
      </c>
    </row>
    <row r="423" spans="1:13" x14ac:dyDescent="0.3">
      <c r="A423" t="s">
        <v>23</v>
      </c>
      <c r="B423" s="12">
        <v>2012</v>
      </c>
      <c r="C423" s="13">
        <v>11097142.779000001</v>
      </c>
      <c r="D423">
        <v>1601625.2589999996</v>
      </c>
      <c r="E423" s="12">
        <v>12694550</v>
      </c>
      <c r="F423" s="13">
        <v>587</v>
      </c>
      <c r="G423">
        <v>1983</v>
      </c>
      <c r="H423" s="12">
        <v>2570</v>
      </c>
      <c r="I423" s="15">
        <f t="shared" si="32"/>
        <v>0.87416590418723006</v>
      </c>
      <c r="J423" s="15">
        <f t="shared" si="33"/>
        <v>0.12616636737812681</v>
      </c>
      <c r="K423" s="14">
        <f t="shared" si="35"/>
        <v>4.6240315726039914E-5</v>
      </c>
      <c r="L423" s="14">
        <f t="shared" si="36"/>
        <v>1.5620876675423705E-4</v>
      </c>
      <c r="M423" s="16">
        <f t="shared" si="34"/>
        <v>2.0244908248027697E-4</v>
      </c>
    </row>
    <row r="424" spans="1:13" x14ac:dyDescent="0.3">
      <c r="A424" t="s">
        <v>23</v>
      </c>
      <c r="B424" s="12">
        <v>2010</v>
      </c>
      <c r="C424" s="13">
        <v>11146725.976</v>
      </c>
      <c r="D424">
        <v>1556220.4290000007</v>
      </c>
      <c r="E424" s="12">
        <v>12699765</v>
      </c>
      <c r="F424" s="13">
        <v>581</v>
      </c>
      <c r="G424">
        <v>1912</v>
      </c>
      <c r="H424" s="12">
        <v>2493</v>
      </c>
      <c r="I424" s="15">
        <f t="shared" si="32"/>
        <v>0.87771119985291068</v>
      </c>
      <c r="J424" s="15">
        <f t="shared" si="33"/>
        <v>0.12253930911320018</v>
      </c>
      <c r="K424" s="14">
        <f t="shared" si="35"/>
        <v>4.5748878030420251E-5</v>
      </c>
      <c r="L424" s="14">
        <f t="shared" si="36"/>
        <v>1.5055396694348282E-4</v>
      </c>
      <c r="M424" s="16">
        <f t="shared" si="34"/>
        <v>1.9630284497390305E-4</v>
      </c>
    </row>
    <row r="425" spans="1:13" x14ac:dyDescent="0.3">
      <c r="A425" t="s">
        <v>23</v>
      </c>
      <c r="B425" s="12">
        <v>2009</v>
      </c>
      <c r="C425" s="13">
        <v>11233074.324000001</v>
      </c>
      <c r="D425">
        <v>1551158.4959999998</v>
      </c>
      <c r="E425" s="12">
        <v>12785043</v>
      </c>
      <c r="F425" s="13">
        <v>580</v>
      </c>
      <c r="G425">
        <v>2006</v>
      </c>
      <c r="H425" s="12">
        <v>2586</v>
      </c>
      <c r="I425" s="15">
        <f t="shared" si="32"/>
        <v>0.87861060177896944</v>
      </c>
      <c r="J425" s="15">
        <f t="shared" si="33"/>
        <v>0.12132602886044261</v>
      </c>
      <c r="K425" s="14">
        <f t="shared" si="35"/>
        <v>4.5365510307630568E-5</v>
      </c>
      <c r="L425" s="14">
        <f t="shared" si="36"/>
        <v>1.5690209254673606E-4</v>
      </c>
      <c r="M425" s="16">
        <f t="shared" si="34"/>
        <v>2.0226760285436661E-4</v>
      </c>
    </row>
    <row r="426" spans="1:13" x14ac:dyDescent="0.3">
      <c r="A426" t="s">
        <v>19</v>
      </c>
      <c r="B426" s="12">
        <v>2009</v>
      </c>
      <c r="C426" s="13">
        <v>15154751.511</v>
      </c>
      <c r="D426">
        <v>3071464.9320000005</v>
      </c>
      <c r="E426" s="12">
        <v>18222420</v>
      </c>
      <c r="F426" s="13">
        <v>701</v>
      </c>
      <c r="G426">
        <v>1861</v>
      </c>
      <c r="H426" s="12">
        <v>2562</v>
      </c>
      <c r="I426" s="15">
        <f t="shared" si="32"/>
        <v>0.83165416618648891</v>
      </c>
      <c r="J426" s="15">
        <f t="shared" si="33"/>
        <v>0.16855417293641572</v>
      </c>
      <c r="K426" s="14">
        <f t="shared" si="35"/>
        <v>3.8469094664704251E-5</v>
      </c>
      <c r="L426" s="14">
        <f t="shared" si="36"/>
        <v>1.0212694032955008E-4</v>
      </c>
      <c r="M426" s="16">
        <f t="shared" si="34"/>
        <v>1.4059603499425434E-4</v>
      </c>
    </row>
    <row r="427" spans="1:13" x14ac:dyDescent="0.3">
      <c r="A427" t="s">
        <v>19</v>
      </c>
      <c r="B427" s="12">
        <v>2012</v>
      </c>
      <c r="C427" s="13">
        <v>15356273.137000004</v>
      </c>
      <c r="D427">
        <v>3259859.5860000001</v>
      </c>
      <c r="E427" s="12">
        <v>18613958</v>
      </c>
      <c r="F427" s="13">
        <v>594</v>
      </c>
      <c r="G427">
        <v>1985</v>
      </c>
      <c r="H427" s="12">
        <v>2579</v>
      </c>
      <c r="I427" s="15">
        <f t="shared" si="32"/>
        <v>0.82498698756062538</v>
      </c>
      <c r="J427" s="15">
        <f t="shared" si="33"/>
        <v>0.17512984535583459</v>
      </c>
      <c r="K427" s="14">
        <f t="shared" si="35"/>
        <v>3.1911536493205797E-5</v>
      </c>
      <c r="L427" s="14">
        <f t="shared" si="36"/>
        <v>1.0664040393773318E-4</v>
      </c>
      <c r="M427" s="16">
        <f t="shared" si="34"/>
        <v>1.3855194043093898E-4</v>
      </c>
    </row>
    <row r="428" spans="1:13" x14ac:dyDescent="0.3">
      <c r="A428" t="s">
        <v>19</v>
      </c>
      <c r="B428" s="12">
        <v>2010</v>
      </c>
      <c r="C428" s="13">
        <v>15362475.890000001</v>
      </c>
      <c r="D428">
        <v>3132222.9640000006</v>
      </c>
      <c r="E428" s="12">
        <v>18500150</v>
      </c>
      <c r="F428" s="13">
        <v>557</v>
      </c>
      <c r="G428">
        <v>1904</v>
      </c>
      <c r="H428" s="12">
        <v>2461</v>
      </c>
      <c r="I428" s="15">
        <f t="shared" si="32"/>
        <v>0.83039736921051999</v>
      </c>
      <c r="J428" s="15">
        <f t="shared" si="33"/>
        <v>0.1693079766380273</v>
      </c>
      <c r="K428" s="14">
        <f t="shared" si="35"/>
        <v>3.0107863990291971E-5</v>
      </c>
      <c r="L428" s="14">
        <f t="shared" si="36"/>
        <v>1.0291808444796394E-4</v>
      </c>
      <c r="M428" s="16">
        <f t="shared" si="34"/>
        <v>1.3302594843825591E-4</v>
      </c>
    </row>
    <row r="429" spans="1:13" x14ac:dyDescent="0.3">
      <c r="A429" t="s">
        <v>19</v>
      </c>
      <c r="B429" s="12">
        <v>2011</v>
      </c>
      <c r="C429" s="13">
        <v>15398701.668000001</v>
      </c>
      <c r="D429">
        <v>3193384.6750000007</v>
      </c>
      <c r="E429" s="12">
        <v>18587927</v>
      </c>
      <c r="F429" s="13">
        <v>605</v>
      </c>
      <c r="G429">
        <v>2034</v>
      </c>
      <c r="H429" s="12">
        <v>2639</v>
      </c>
      <c r="I429" s="15">
        <f t="shared" si="32"/>
        <v>0.82842490547762537</v>
      </c>
      <c r="J429" s="15">
        <f t="shared" si="33"/>
        <v>0.17179886035704792</v>
      </c>
      <c r="K429" s="14">
        <f t="shared" si="35"/>
        <v>3.2548008177566006E-5</v>
      </c>
      <c r="L429" s="14">
        <f t="shared" si="36"/>
        <v>1.0942586550937068E-4</v>
      </c>
      <c r="M429" s="16">
        <f t="shared" si="34"/>
        <v>1.419738736869367E-4</v>
      </c>
    </row>
    <row r="430" spans="1:13" x14ac:dyDescent="0.3">
      <c r="A430" t="s">
        <v>19</v>
      </c>
      <c r="B430" s="12">
        <v>2013</v>
      </c>
      <c r="C430" s="13">
        <v>15401622.26</v>
      </c>
      <c r="D430">
        <v>3313645.4390000002</v>
      </c>
      <c r="E430" s="12">
        <v>18717080</v>
      </c>
      <c r="F430" s="13">
        <v>768</v>
      </c>
      <c r="G430">
        <v>2136</v>
      </c>
      <c r="H430" s="12">
        <v>2904</v>
      </c>
      <c r="I430" s="15">
        <f t="shared" si="32"/>
        <v>0.8228645846467505</v>
      </c>
      <c r="J430" s="15">
        <f t="shared" si="33"/>
        <v>0.17703858929918556</v>
      </c>
      <c r="K430" s="14">
        <f t="shared" si="35"/>
        <v>4.1032041322684948E-5</v>
      </c>
      <c r="L430" s="14">
        <f t="shared" si="36"/>
        <v>1.1412036492871752E-4</v>
      </c>
      <c r="M430" s="16">
        <f t="shared" si="34"/>
        <v>1.5515240625140245E-4</v>
      </c>
    </row>
    <row r="431" spans="1:13" x14ac:dyDescent="0.3">
      <c r="A431" t="s">
        <v>19</v>
      </c>
      <c r="B431" s="12">
        <v>2015</v>
      </c>
      <c r="C431" s="13">
        <v>15671162.011999998</v>
      </c>
      <c r="D431">
        <v>3597552.9379999996</v>
      </c>
      <c r="E431" s="12">
        <v>19266113</v>
      </c>
      <c r="F431" s="13">
        <v>604</v>
      </c>
      <c r="G431">
        <v>2271</v>
      </c>
      <c r="H431" s="12">
        <v>2875</v>
      </c>
      <c r="I431" s="15">
        <f t="shared" si="32"/>
        <v>0.81340548620263975</v>
      </c>
      <c r="J431" s="15">
        <f t="shared" si="33"/>
        <v>0.18672956698634538</v>
      </c>
      <c r="K431" s="14">
        <f t="shared" si="35"/>
        <v>3.1350381885541727E-5</v>
      </c>
      <c r="L431" s="14">
        <f t="shared" si="36"/>
        <v>1.1787535970540606E-4</v>
      </c>
      <c r="M431" s="16">
        <f t="shared" si="34"/>
        <v>1.4922574159094778E-4</v>
      </c>
    </row>
    <row r="432" spans="1:13" x14ac:dyDescent="0.3">
      <c r="A432" t="s">
        <v>19</v>
      </c>
      <c r="B432" s="12">
        <v>2014</v>
      </c>
      <c r="C432" s="13">
        <v>15674816.596000001</v>
      </c>
      <c r="D432">
        <v>3464609.3659999995</v>
      </c>
      <c r="E432" s="12">
        <v>19138571</v>
      </c>
      <c r="F432" s="13">
        <v>786</v>
      </c>
      <c r="G432">
        <v>2143</v>
      </c>
      <c r="H432" s="12">
        <v>2929</v>
      </c>
      <c r="I432" s="15">
        <f t="shared" si="32"/>
        <v>0.81901708314586297</v>
      </c>
      <c r="J432" s="15">
        <f t="shared" si="33"/>
        <v>0.18102758905040503</v>
      </c>
      <c r="K432" s="14">
        <f t="shared" si="35"/>
        <v>4.1068896941156161E-5</v>
      </c>
      <c r="L432" s="14">
        <f t="shared" si="36"/>
        <v>1.1197283224541686E-4</v>
      </c>
      <c r="M432" s="16">
        <f t="shared" si="34"/>
        <v>1.5304172918657302E-4</v>
      </c>
    </row>
    <row r="433" spans="1:13" x14ac:dyDescent="0.3">
      <c r="A433" t="s">
        <v>19</v>
      </c>
      <c r="B433" s="12">
        <v>2016</v>
      </c>
      <c r="C433" s="13">
        <v>16075005.925000001</v>
      </c>
      <c r="D433">
        <v>3784942.3089999999</v>
      </c>
      <c r="E433" s="12">
        <v>19861484</v>
      </c>
      <c r="F433" s="13">
        <v>727</v>
      </c>
      <c r="G433">
        <v>2260</v>
      </c>
      <c r="H433" s="12">
        <v>2987</v>
      </c>
      <c r="I433" s="15">
        <f t="shared" si="32"/>
        <v>0.80935573217993184</v>
      </c>
      <c r="J433" s="15">
        <f t="shared" si="33"/>
        <v>0.19056694399069071</v>
      </c>
      <c r="K433" s="14">
        <f t="shared" si="35"/>
        <v>3.6603508579721436E-5</v>
      </c>
      <c r="L433" s="14">
        <f t="shared" si="36"/>
        <v>1.1378807343902399E-4</v>
      </c>
      <c r="M433" s="16">
        <f t="shared" si="34"/>
        <v>1.5039158201874542E-4</v>
      </c>
    </row>
    <row r="434" spans="1:13" x14ac:dyDescent="0.3">
      <c r="A434" t="s">
        <v>19</v>
      </c>
      <c r="B434" s="12">
        <v>2017</v>
      </c>
      <c r="C434" s="13">
        <v>16267535</v>
      </c>
      <c r="D434">
        <v>3909738</v>
      </c>
      <c r="E434" s="12">
        <v>20177273</v>
      </c>
      <c r="F434" s="13">
        <v>693</v>
      </c>
      <c r="G434">
        <v>2554</v>
      </c>
      <c r="H434" s="12">
        <v>3247</v>
      </c>
      <c r="I434" s="15">
        <f t="shared" si="32"/>
        <v>0.80623060410591663</v>
      </c>
      <c r="J434" s="15">
        <f t="shared" si="33"/>
        <v>0.1937693958940834</v>
      </c>
      <c r="K434" s="14">
        <f t="shared" si="35"/>
        <v>3.4345572863092057E-5</v>
      </c>
      <c r="L434" s="14">
        <f t="shared" si="36"/>
        <v>1.2657805641029884E-4</v>
      </c>
      <c r="M434" s="16">
        <f t="shared" si="34"/>
        <v>1.609236292733909E-4</v>
      </c>
    </row>
    <row r="435" spans="1:13" x14ac:dyDescent="0.3">
      <c r="A435" t="s">
        <v>42</v>
      </c>
      <c r="B435" s="12">
        <v>2012</v>
      </c>
      <c r="C435" s="13">
        <v>16550300.02</v>
      </c>
      <c r="D435">
        <v>2598739.3800000004</v>
      </c>
      <c r="E435" s="12">
        <v>19158450</v>
      </c>
      <c r="F435" s="13">
        <v>755</v>
      </c>
      <c r="G435">
        <v>3869</v>
      </c>
      <c r="H435" s="12">
        <v>4624</v>
      </c>
      <c r="I435" s="15">
        <f t="shared" si="32"/>
        <v>0.86386424893454317</v>
      </c>
      <c r="J435" s="15">
        <f t="shared" si="33"/>
        <v>0.13564455266475109</v>
      </c>
      <c r="K435" s="14">
        <f t="shared" si="35"/>
        <v>3.9408198471170684E-5</v>
      </c>
      <c r="L435" s="14">
        <f t="shared" si="36"/>
        <v>2.0194744355623759E-4</v>
      </c>
      <c r="M435" s="16">
        <f t="shared" si="34"/>
        <v>2.4135564202740827E-4</v>
      </c>
    </row>
    <row r="436" spans="1:13" x14ac:dyDescent="0.3">
      <c r="A436" t="s">
        <v>42</v>
      </c>
      <c r="B436" s="12">
        <v>2011</v>
      </c>
      <c r="C436" s="13">
        <v>16631002.557000004</v>
      </c>
      <c r="D436">
        <v>2580093.8390000002</v>
      </c>
      <c r="E436" s="12">
        <v>19219373</v>
      </c>
      <c r="F436" s="13">
        <v>834</v>
      </c>
      <c r="G436">
        <v>4296</v>
      </c>
      <c r="H436" s="12">
        <v>5130</v>
      </c>
      <c r="I436" s="15">
        <f t="shared" si="32"/>
        <v>0.8653249279776194</v>
      </c>
      <c r="J436" s="15">
        <f t="shared" si="33"/>
        <v>0.13424443341622019</v>
      </c>
      <c r="K436" s="14">
        <f t="shared" si="35"/>
        <v>4.3393715289255272E-5</v>
      </c>
      <c r="L436" s="14">
        <f t="shared" si="36"/>
        <v>2.235244614899768E-4</v>
      </c>
      <c r="M436" s="16">
        <f t="shared" si="34"/>
        <v>2.6691817677923209E-4</v>
      </c>
    </row>
    <row r="437" spans="1:13" x14ac:dyDescent="0.3">
      <c r="A437" t="s">
        <v>42</v>
      </c>
      <c r="B437" s="12">
        <v>2010</v>
      </c>
      <c r="C437" s="13">
        <v>16684315.417000001</v>
      </c>
      <c r="D437">
        <v>2556539.7110000001</v>
      </c>
      <c r="E437" s="12">
        <v>19229752</v>
      </c>
      <c r="F437" s="13">
        <v>803</v>
      </c>
      <c r="G437">
        <v>4065</v>
      </c>
      <c r="H437" s="12">
        <v>4868</v>
      </c>
      <c r="I437" s="15">
        <f t="shared" si="32"/>
        <v>0.86763029585612972</v>
      </c>
      <c r="J437" s="15">
        <f t="shared" si="33"/>
        <v>0.13294709734166099</v>
      </c>
      <c r="K437" s="14">
        <f t="shared" si="35"/>
        <v>4.175820884221492E-5</v>
      </c>
      <c r="L437" s="14">
        <f t="shared" si="36"/>
        <v>2.1139118174794973E-4</v>
      </c>
      <c r="M437" s="16">
        <f t="shared" si="34"/>
        <v>2.5314939059016463E-4</v>
      </c>
    </row>
    <row r="438" spans="1:13" x14ac:dyDescent="0.3">
      <c r="A438" t="s">
        <v>42</v>
      </c>
      <c r="B438" s="12">
        <v>2017</v>
      </c>
      <c r="C438" s="13">
        <v>16705305</v>
      </c>
      <c r="D438">
        <v>2977810</v>
      </c>
      <c r="E438" s="12">
        <v>19683115</v>
      </c>
      <c r="F438" s="13">
        <v>807</v>
      </c>
      <c r="G438">
        <v>3955</v>
      </c>
      <c r="H438" s="12">
        <v>4762</v>
      </c>
      <c r="I438" s="15">
        <f t="shared" si="32"/>
        <v>0.84871246243290255</v>
      </c>
      <c r="J438" s="15">
        <f t="shared" si="33"/>
        <v>0.15128753756709748</v>
      </c>
      <c r="K438" s="14">
        <f t="shared" si="35"/>
        <v>4.0999608039682743E-5</v>
      </c>
      <c r="L438" s="14">
        <f t="shared" si="36"/>
        <v>2.0093364287105978E-4</v>
      </c>
      <c r="M438" s="16">
        <f t="shared" si="34"/>
        <v>2.4193325091074254E-4</v>
      </c>
    </row>
    <row r="439" spans="1:13" x14ac:dyDescent="0.3">
      <c r="A439" t="s">
        <v>42</v>
      </c>
      <c r="B439" s="12">
        <v>2013</v>
      </c>
      <c r="C439" s="13">
        <v>16743536.904000003</v>
      </c>
      <c r="D439">
        <v>2688178.4970000004</v>
      </c>
      <c r="E439" s="12">
        <v>19427961</v>
      </c>
      <c r="F439" s="13">
        <v>802</v>
      </c>
      <c r="G439">
        <v>4282</v>
      </c>
      <c r="H439" s="12">
        <v>5084</v>
      </c>
      <c r="I439" s="15">
        <f t="shared" si="32"/>
        <v>0.86182677142495823</v>
      </c>
      <c r="J439" s="15">
        <f t="shared" si="33"/>
        <v>0.13836647587464276</v>
      </c>
      <c r="K439" s="14">
        <f t="shared" si="35"/>
        <v>4.1280708768151223E-5</v>
      </c>
      <c r="L439" s="14">
        <f t="shared" si="36"/>
        <v>2.2040398372222386E-4</v>
      </c>
      <c r="M439" s="16">
        <f t="shared" si="34"/>
        <v>2.6168469249037508E-4</v>
      </c>
    </row>
    <row r="440" spans="1:13" x14ac:dyDescent="0.3">
      <c r="A440" t="s">
        <v>42</v>
      </c>
      <c r="B440" s="12">
        <v>2015</v>
      </c>
      <c r="C440" s="13">
        <v>16748405.048000002</v>
      </c>
      <c r="D440">
        <v>2793290.3169999998</v>
      </c>
      <c r="E440" s="12">
        <v>19540557</v>
      </c>
      <c r="F440" s="13">
        <v>810</v>
      </c>
      <c r="G440">
        <v>4298</v>
      </c>
      <c r="H440" s="12">
        <v>5108</v>
      </c>
      <c r="I440" s="15">
        <f t="shared" si="32"/>
        <v>0.85710990981475099</v>
      </c>
      <c r="J440" s="15">
        <f t="shared" si="33"/>
        <v>0.14294834671294168</v>
      </c>
      <c r="K440" s="14">
        <f t="shared" si="35"/>
        <v>4.1452247241468091E-5</v>
      </c>
      <c r="L440" s="14">
        <f t="shared" si="36"/>
        <v>2.1995278844917266E-4</v>
      </c>
      <c r="M440" s="16">
        <f t="shared" si="34"/>
        <v>2.6140503569064075E-4</v>
      </c>
    </row>
    <row r="441" spans="1:13" x14ac:dyDescent="0.3">
      <c r="A441" t="s">
        <v>42</v>
      </c>
      <c r="B441" s="12">
        <v>2014</v>
      </c>
      <c r="C441" s="13">
        <v>16757274.874</v>
      </c>
      <c r="D441">
        <v>2738027.1939999997</v>
      </c>
      <c r="E441" s="12">
        <v>19503160</v>
      </c>
      <c r="F441" s="13">
        <v>843</v>
      </c>
      <c r="G441">
        <v>4030</v>
      </c>
      <c r="H441" s="12">
        <v>4873</v>
      </c>
      <c r="I441" s="15">
        <f t="shared" si="32"/>
        <v>0.85920819364656809</v>
      </c>
      <c r="J441" s="15">
        <f t="shared" si="33"/>
        <v>0.14038890077300292</v>
      </c>
      <c r="K441" s="14">
        <f t="shared" si="35"/>
        <v>4.3223764764274094E-5</v>
      </c>
      <c r="L441" s="14">
        <f t="shared" si="36"/>
        <v>2.0663318149469111E-4</v>
      </c>
      <c r="M441" s="16">
        <f t="shared" si="34"/>
        <v>2.4985694625896519E-4</v>
      </c>
    </row>
    <row r="442" spans="1:13" x14ac:dyDescent="0.3">
      <c r="A442" t="s">
        <v>42</v>
      </c>
      <c r="B442" s="12">
        <v>2016</v>
      </c>
      <c r="C442" s="13">
        <v>16766122.699999999</v>
      </c>
      <c r="D442">
        <v>2884666.1940000006</v>
      </c>
      <c r="E442" s="12">
        <v>19651526</v>
      </c>
      <c r="F442" s="13">
        <v>814</v>
      </c>
      <c r="G442">
        <v>3903</v>
      </c>
      <c r="H442" s="12">
        <v>4717</v>
      </c>
      <c r="I442" s="15">
        <f t="shared" si="32"/>
        <v>0.85317153996081518</v>
      </c>
      <c r="J442" s="15">
        <f t="shared" si="33"/>
        <v>0.14679095119636004</v>
      </c>
      <c r="K442" s="14">
        <f t="shared" si="35"/>
        <v>4.1421719616074597E-5</v>
      </c>
      <c r="L442" s="14">
        <f t="shared" si="36"/>
        <v>1.9861053029673117E-4</v>
      </c>
      <c r="M442" s="16">
        <f t="shared" si="34"/>
        <v>2.4003224991280575E-4</v>
      </c>
    </row>
    <row r="443" spans="1:13" x14ac:dyDescent="0.3">
      <c r="A443" t="s">
        <v>42</v>
      </c>
      <c r="B443" s="12">
        <v>2009</v>
      </c>
      <c r="C443" s="13">
        <v>16863053.967999998</v>
      </c>
      <c r="D443">
        <v>2562311.1</v>
      </c>
      <c r="E443" s="12">
        <v>19423896</v>
      </c>
      <c r="F443" s="13">
        <v>807</v>
      </c>
      <c r="G443">
        <v>3878</v>
      </c>
      <c r="H443" s="12">
        <v>4685</v>
      </c>
      <c r="I443" s="15">
        <f t="shared" si="32"/>
        <v>0.86816022738177745</v>
      </c>
      <c r="J443" s="15">
        <f t="shared" si="33"/>
        <v>0.13191540461295717</v>
      </c>
      <c r="K443" s="14">
        <f t="shared" si="35"/>
        <v>4.1546762812156734E-5</v>
      </c>
      <c r="L443" s="14">
        <f t="shared" si="36"/>
        <v>1.996509865991869E-4</v>
      </c>
      <c r="M443" s="16">
        <f t="shared" si="34"/>
        <v>2.4119774941134362E-4</v>
      </c>
    </row>
    <row r="444" spans="1:13" x14ac:dyDescent="0.3">
      <c r="A444" t="s">
        <v>53</v>
      </c>
      <c r="B444" s="12">
        <v>2009</v>
      </c>
      <c r="C444" s="13">
        <v>21345772.894000001</v>
      </c>
      <c r="D444">
        <v>2387470.1730000004</v>
      </c>
      <c r="E444" s="12">
        <v>23721521</v>
      </c>
      <c r="F444" s="13">
        <v>966</v>
      </c>
      <c r="G444">
        <v>2512</v>
      </c>
      <c r="H444" s="12">
        <v>3478</v>
      </c>
      <c r="I444" s="15">
        <f t="shared" si="32"/>
        <v>0.89984840744402528</v>
      </c>
      <c r="J444" s="15">
        <f t="shared" si="33"/>
        <v>0.10064574581874411</v>
      </c>
      <c r="K444" s="14">
        <f t="shared" si="35"/>
        <v>4.0722515221515517E-5</v>
      </c>
      <c r="L444" s="14">
        <f t="shared" si="36"/>
        <v>1.0589540190108383E-4</v>
      </c>
      <c r="M444" s="16">
        <f t="shared" si="34"/>
        <v>1.4661791712259934E-4</v>
      </c>
    </row>
    <row r="445" spans="1:13" x14ac:dyDescent="0.3">
      <c r="A445" t="s">
        <v>53</v>
      </c>
      <c r="B445" s="12">
        <v>2010</v>
      </c>
      <c r="C445" s="13">
        <v>21590270.408</v>
      </c>
      <c r="D445">
        <v>2426770.3089999999</v>
      </c>
      <c r="E445" s="12">
        <v>24014155</v>
      </c>
      <c r="F445" s="13">
        <v>718</v>
      </c>
      <c r="G445">
        <v>2435</v>
      </c>
      <c r="H445" s="12">
        <v>3153</v>
      </c>
      <c r="I445" s="15">
        <f t="shared" si="32"/>
        <v>0.89906433967799404</v>
      </c>
      <c r="J445" s="15">
        <f t="shared" si="33"/>
        <v>0.10105582765664667</v>
      </c>
      <c r="K445" s="14">
        <f t="shared" si="35"/>
        <v>2.9899032466476542E-5</v>
      </c>
      <c r="L445" s="14">
        <f t="shared" si="36"/>
        <v>1.0139852932572477E-4</v>
      </c>
      <c r="M445" s="16">
        <f t="shared" si="34"/>
        <v>1.312975617922013E-4</v>
      </c>
    </row>
    <row r="446" spans="1:13" x14ac:dyDescent="0.3">
      <c r="A446" t="s">
        <v>53</v>
      </c>
      <c r="B446" s="12">
        <v>2011</v>
      </c>
      <c r="C446" s="13">
        <v>22038834.053999998</v>
      </c>
      <c r="D446">
        <v>2513608.3730000006</v>
      </c>
      <c r="E446" s="12">
        <v>24557189</v>
      </c>
      <c r="F446" s="13">
        <v>754</v>
      </c>
      <c r="G446">
        <v>2473</v>
      </c>
      <c r="H446" s="12">
        <v>3227</v>
      </c>
      <c r="I446" s="15">
        <f t="shared" si="32"/>
        <v>0.89744938046451483</v>
      </c>
      <c r="J446" s="15">
        <f t="shared" si="33"/>
        <v>0.1023573330400316</v>
      </c>
      <c r="K446" s="14">
        <f t="shared" si="35"/>
        <v>3.070383992239503E-5</v>
      </c>
      <c r="L446" s="14">
        <f t="shared" si="36"/>
        <v>1.0070370839268289E-4</v>
      </c>
      <c r="M446" s="16">
        <f t="shared" si="34"/>
        <v>1.3140754831507791E-4</v>
      </c>
    </row>
    <row r="447" spans="1:13" x14ac:dyDescent="0.3">
      <c r="A447" t="s">
        <v>53</v>
      </c>
      <c r="B447" s="12">
        <v>2012</v>
      </c>
      <c r="C447" s="13">
        <v>22171559.572000001</v>
      </c>
      <c r="D447">
        <v>2572464.1919999998</v>
      </c>
      <c r="E447" s="12">
        <v>24741686</v>
      </c>
      <c r="F447" s="13">
        <v>713</v>
      </c>
      <c r="G447">
        <v>2435</v>
      </c>
      <c r="H447" s="12">
        <v>3148</v>
      </c>
      <c r="I447" s="15">
        <f t="shared" si="32"/>
        <v>0.8961216132158496</v>
      </c>
      <c r="J447" s="15">
        <f t="shared" si="33"/>
        <v>0.1039728736352082</v>
      </c>
      <c r="K447" s="14">
        <f t="shared" si="35"/>
        <v>2.8817761247151871E-5</v>
      </c>
      <c r="L447" s="14">
        <f t="shared" si="36"/>
        <v>9.8416898508856674E-5</v>
      </c>
      <c r="M447" s="16">
        <f t="shared" si="34"/>
        <v>1.2723465975600856E-4</v>
      </c>
    </row>
    <row r="448" spans="1:13" x14ac:dyDescent="0.3">
      <c r="A448" t="s">
        <v>53</v>
      </c>
      <c r="B448" s="12">
        <v>2013</v>
      </c>
      <c r="C448" s="13">
        <v>22554284.567000002</v>
      </c>
      <c r="D448">
        <v>2669332.5370000009</v>
      </c>
      <c r="E448" s="12">
        <v>25227175</v>
      </c>
      <c r="F448" s="13">
        <v>917</v>
      </c>
      <c r="G448">
        <v>2608</v>
      </c>
      <c r="H448" s="12">
        <v>3525</v>
      </c>
      <c r="I448" s="15">
        <f t="shared" si="32"/>
        <v>0.89404717599176287</v>
      </c>
      <c r="J448" s="15">
        <f t="shared" si="33"/>
        <v>0.10581178974657293</v>
      </c>
      <c r="K448" s="14">
        <f t="shared" si="35"/>
        <v>3.6349690363665371E-5</v>
      </c>
      <c r="L448" s="14">
        <f t="shared" si="36"/>
        <v>1.0338058066351067E-4</v>
      </c>
      <c r="M448" s="16">
        <f t="shared" si="34"/>
        <v>1.3973027102717606E-4</v>
      </c>
    </row>
    <row r="449" spans="1:13" x14ac:dyDescent="0.3">
      <c r="A449" t="s">
        <v>53</v>
      </c>
      <c r="B449" s="12">
        <v>2015</v>
      </c>
      <c r="C449" s="13">
        <v>22601888.785999998</v>
      </c>
      <c r="D449">
        <v>2800369.0310000004</v>
      </c>
      <c r="E449" s="12">
        <v>25410595</v>
      </c>
      <c r="F449" s="13">
        <v>788</v>
      </c>
      <c r="G449">
        <v>2575</v>
      </c>
      <c r="H449" s="12">
        <v>3363</v>
      </c>
      <c r="I449" s="15">
        <f t="shared" si="32"/>
        <v>0.8894671213326566</v>
      </c>
      <c r="J449" s="15">
        <f t="shared" si="33"/>
        <v>0.11020477997465232</v>
      </c>
      <c r="K449" s="14">
        <f t="shared" si="35"/>
        <v>3.1010686684038688E-5</v>
      </c>
      <c r="L449" s="14">
        <f t="shared" si="36"/>
        <v>1.0133568300939037E-4</v>
      </c>
      <c r="M449" s="16">
        <f t="shared" si="34"/>
        <v>1.3234636969342906E-4</v>
      </c>
    </row>
    <row r="450" spans="1:13" x14ac:dyDescent="0.3">
      <c r="A450" t="s">
        <v>53</v>
      </c>
      <c r="B450" s="12">
        <v>2014</v>
      </c>
      <c r="C450" s="13">
        <v>22841498.206</v>
      </c>
      <c r="D450">
        <v>2772676.7159999991</v>
      </c>
      <c r="E450" s="12">
        <v>25607357</v>
      </c>
      <c r="F450" s="13">
        <v>1073</v>
      </c>
      <c r="G450">
        <v>2552</v>
      </c>
      <c r="H450" s="12">
        <v>3625</v>
      </c>
      <c r="I450" s="15">
        <f t="shared" si="32"/>
        <v>0.8919896811685798</v>
      </c>
      <c r="J450" s="15">
        <f t="shared" si="33"/>
        <v>0.10827656739428435</v>
      </c>
      <c r="K450" s="14">
        <f t="shared" si="35"/>
        <v>4.1902020579476436E-5</v>
      </c>
      <c r="L450" s="14">
        <f t="shared" si="36"/>
        <v>9.9658859756592607E-5</v>
      </c>
      <c r="M450" s="16">
        <f t="shared" si="34"/>
        <v>1.4156088033606904E-4</v>
      </c>
    </row>
    <row r="451" spans="1:13" x14ac:dyDescent="0.3">
      <c r="A451" t="s">
        <v>53</v>
      </c>
      <c r="B451" s="12">
        <v>2016</v>
      </c>
      <c r="C451" s="13">
        <v>23069285.452000003</v>
      </c>
      <c r="D451">
        <v>2960325.4290000005</v>
      </c>
      <c r="E451" s="12">
        <v>26031252</v>
      </c>
      <c r="F451" s="13">
        <v>806</v>
      </c>
      <c r="G451">
        <v>2260</v>
      </c>
      <c r="H451" s="12">
        <v>3066</v>
      </c>
      <c r="I451" s="15">
        <f t="shared" ref="I451:I461" si="37">C451/E451</f>
        <v>0.88621497928720461</v>
      </c>
      <c r="J451" s="15">
        <f t="shared" ref="J451:J461" si="38">D451/E451</f>
        <v>0.11372197653036437</v>
      </c>
      <c r="K451" s="14">
        <f t="shared" si="35"/>
        <v>3.0962782735152348E-5</v>
      </c>
      <c r="L451" s="14">
        <f t="shared" si="36"/>
        <v>8.6818720820650504E-5</v>
      </c>
      <c r="M451" s="16">
        <f t="shared" ref="M451:M461" si="39">H451/E451</f>
        <v>1.1778150355580285E-4</v>
      </c>
    </row>
    <row r="452" spans="1:13" x14ac:dyDescent="0.3">
      <c r="A452" t="s">
        <v>53</v>
      </c>
      <c r="B452" s="12">
        <v>2017</v>
      </c>
      <c r="C452" s="13">
        <v>23373174</v>
      </c>
      <c r="D452">
        <v>3085403</v>
      </c>
      <c r="E452" s="12">
        <v>26458577</v>
      </c>
      <c r="F452" s="13">
        <v>810</v>
      </c>
      <c r="G452">
        <v>2290</v>
      </c>
      <c r="H452" s="12">
        <v>3100</v>
      </c>
      <c r="I452" s="15">
        <f t="shared" si="37"/>
        <v>0.88338741724469916</v>
      </c>
      <c r="J452" s="15">
        <f t="shared" si="38"/>
        <v>0.11661258275530086</v>
      </c>
      <c r="K452" s="14">
        <f t="shared" si="35"/>
        <v>3.0613891291281461E-5</v>
      </c>
      <c r="L452" s="14">
        <f t="shared" si="36"/>
        <v>8.655038402103031E-5</v>
      </c>
      <c r="M452" s="16">
        <f t="shared" si="39"/>
        <v>1.1716427531231177E-4</v>
      </c>
    </row>
    <row r="453" spans="1:13" x14ac:dyDescent="0.3">
      <c r="A453" t="s">
        <v>14</v>
      </c>
      <c r="B453" s="12">
        <v>2009</v>
      </c>
      <c r="C453" s="13">
        <v>32372800.882000003</v>
      </c>
      <c r="D453">
        <v>3972054.6099999994</v>
      </c>
      <c r="E453" s="12">
        <v>36308527</v>
      </c>
      <c r="F453" s="13">
        <v>1299</v>
      </c>
      <c r="G453">
        <v>5197</v>
      </c>
      <c r="H453" s="12">
        <v>6496</v>
      </c>
      <c r="I453" s="15">
        <f t="shared" si="37"/>
        <v>0.89160325567600152</v>
      </c>
      <c r="J453" s="15">
        <f t="shared" si="38"/>
        <v>0.10939729419483196</v>
      </c>
      <c r="K453" s="14">
        <f t="shared" si="35"/>
        <v>3.5776719887314627E-5</v>
      </c>
      <c r="L453" s="14">
        <f t="shared" si="36"/>
        <v>1.4313442128897159E-4</v>
      </c>
      <c r="M453" s="16">
        <f t="shared" si="39"/>
        <v>1.7891114117628623E-4</v>
      </c>
    </row>
    <row r="454" spans="1:13" x14ac:dyDescent="0.3">
      <c r="A454" t="s">
        <v>14</v>
      </c>
      <c r="B454" s="12">
        <v>2010</v>
      </c>
      <c r="C454" s="13">
        <v>32379711.411999993</v>
      </c>
      <c r="D454">
        <v>4020743.9560000002</v>
      </c>
      <c r="E454" s="12">
        <v>36388689</v>
      </c>
      <c r="F454" s="13">
        <v>818</v>
      </c>
      <c r="G454">
        <v>5229</v>
      </c>
      <c r="H454" s="12">
        <v>6047</v>
      </c>
      <c r="I454" s="15">
        <f t="shared" si="37"/>
        <v>0.88982901835237849</v>
      </c>
      <c r="J454" s="15">
        <f t="shared" si="38"/>
        <v>0.11049433399483011</v>
      </c>
      <c r="K454" s="14">
        <f t="shared" si="35"/>
        <v>2.2479512795858076E-5</v>
      </c>
      <c r="L454" s="14">
        <f t="shared" si="36"/>
        <v>1.4369849927816855E-4</v>
      </c>
      <c r="M454" s="16">
        <f t="shared" si="39"/>
        <v>1.6617801207402663E-4</v>
      </c>
    </row>
    <row r="455" spans="1:13" x14ac:dyDescent="0.3">
      <c r="A455" t="s">
        <v>14</v>
      </c>
      <c r="B455" s="12">
        <v>2011</v>
      </c>
      <c r="C455" s="13">
        <v>32822565.899999999</v>
      </c>
      <c r="D455">
        <v>4182654.7629999998</v>
      </c>
      <c r="E455" s="12">
        <v>36968289</v>
      </c>
      <c r="F455" s="13">
        <v>1007</v>
      </c>
      <c r="G455">
        <v>5338</v>
      </c>
      <c r="H455" s="12">
        <v>6345</v>
      </c>
      <c r="I455" s="15">
        <f t="shared" si="37"/>
        <v>0.88785731738896545</v>
      </c>
      <c r="J455" s="15">
        <f t="shared" si="38"/>
        <v>0.11314169187002406</v>
      </c>
      <c r="K455" s="14">
        <f t="shared" ref="K455:K461" si="40">F455/E455</f>
        <v>2.7239561993253191E-5</v>
      </c>
      <c r="L455" s="14">
        <f t="shared" si="36"/>
        <v>1.4439402375370956E-4</v>
      </c>
      <c r="M455" s="16">
        <f t="shared" si="39"/>
        <v>1.7163358574696276E-4</v>
      </c>
    </row>
    <row r="456" spans="1:13" x14ac:dyDescent="0.3">
      <c r="A456" t="s">
        <v>14</v>
      </c>
      <c r="B456" s="12">
        <v>2012</v>
      </c>
      <c r="C456" s="13">
        <v>32991158.924999997</v>
      </c>
      <c r="D456">
        <v>4305619.55</v>
      </c>
      <c r="E456" s="12">
        <v>37285546</v>
      </c>
      <c r="F456" s="13">
        <v>895</v>
      </c>
      <c r="G456">
        <v>5119</v>
      </c>
      <c r="H456" s="12">
        <v>6014</v>
      </c>
      <c r="I456" s="15">
        <f t="shared" si="37"/>
        <v>0.88482434788537079</v>
      </c>
      <c r="J456" s="15">
        <f t="shared" si="38"/>
        <v>0.11547690759309251</v>
      </c>
      <c r="K456" s="14">
        <f t="shared" si="40"/>
        <v>2.400393975724534E-5</v>
      </c>
      <c r="L456" s="14">
        <f t="shared" ref="L456:L461" si="41">G456/E456</f>
        <v>1.3729180739367476E-4</v>
      </c>
      <c r="M456" s="16">
        <f t="shared" si="39"/>
        <v>1.6129574715092009E-4</v>
      </c>
    </row>
    <row r="457" spans="1:13" x14ac:dyDescent="0.3">
      <c r="A457" t="s">
        <v>14</v>
      </c>
      <c r="B457" s="12">
        <v>2013</v>
      </c>
      <c r="C457" s="13">
        <v>33162829.121000011</v>
      </c>
      <c r="D457">
        <v>4436118.4850000003</v>
      </c>
      <c r="E457" s="12">
        <v>37571447</v>
      </c>
      <c r="F457" s="13">
        <v>1006</v>
      </c>
      <c r="G457">
        <v>5694</v>
      </c>
      <c r="H457" s="12">
        <v>6700</v>
      </c>
      <c r="I457" s="15">
        <f t="shared" si="37"/>
        <v>0.88266041818937691</v>
      </c>
      <c r="J457" s="15">
        <f t="shared" si="38"/>
        <v>0.11807153674437933</v>
      </c>
      <c r="K457" s="14">
        <f t="shared" si="40"/>
        <v>2.677565226593482E-5</v>
      </c>
      <c r="L457" s="14">
        <f t="shared" si="41"/>
        <v>1.5155125646345216E-4</v>
      </c>
      <c r="M457" s="16">
        <f t="shared" si="39"/>
        <v>1.7832690872938699E-4</v>
      </c>
    </row>
    <row r="458" spans="1:13" x14ac:dyDescent="0.3">
      <c r="A458" t="s">
        <v>14</v>
      </c>
      <c r="B458" s="12">
        <v>2014</v>
      </c>
      <c r="C458" s="13">
        <v>33410621.633000001</v>
      </c>
      <c r="D458">
        <v>4609077.2750000004</v>
      </c>
      <c r="E458" s="12">
        <v>38025540</v>
      </c>
      <c r="F458" s="13">
        <v>1280</v>
      </c>
      <c r="G458">
        <v>4888</v>
      </c>
      <c r="H458" s="12">
        <v>6168</v>
      </c>
      <c r="I458" s="15">
        <f t="shared" si="37"/>
        <v>0.87863634896440657</v>
      </c>
      <c r="J458" s="15">
        <f t="shared" si="38"/>
        <v>0.12121004133011656</v>
      </c>
      <c r="K458" s="14">
        <f t="shared" si="40"/>
        <v>3.3661586396932166E-5</v>
      </c>
      <c r="L458" s="14">
        <f t="shared" si="41"/>
        <v>1.2854518305328473E-4</v>
      </c>
      <c r="M458" s="16">
        <f t="shared" si="39"/>
        <v>1.6220676945021689E-4</v>
      </c>
    </row>
    <row r="459" spans="1:13" x14ac:dyDescent="0.3">
      <c r="A459" t="s">
        <v>14</v>
      </c>
      <c r="B459" s="12">
        <v>2017</v>
      </c>
      <c r="C459" s="13">
        <v>33442716</v>
      </c>
      <c r="D459">
        <v>5078704</v>
      </c>
      <c r="E459" s="12">
        <v>38521420</v>
      </c>
      <c r="F459" s="13">
        <v>1008</v>
      </c>
      <c r="G459">
        <v>5510</v>
      </c>
      <c r="H459" s="12">
        <v>6518</v>
      </c>
      <c r="I459" s="15">
        <f t="shared" si="37"/>
        <v>0.86815896194896247</v>
      </c>
      <c r="J459" s="15">
        <f t="shared" si="38"/>
        <v>0.13184103805103758</v>
      </c>
      <c r="K459" s="14">
        <f t="shared" si="40"/>
        <v>2.6167259670074467E-5</v>
      </c>
      <c r="L459" s="14">
        <f t="shared" si="41"/>
        <v>1.4303730236320467E-4</v>
      </c>
      <c r="M459" s="16">
        <f t="shared" si="39"/>
        <v>1.6920456203327916E-4</v>
      </c>
    </row>
    <row r="460" spans="1:13" x14ac:dyDescent="0.3">
      <c r="A460" t="s">
        <v>14</v>
      </c>
      <c r="B460" s="12">
        <v>2015</v>
      </c>
      <c r="C460" s="13">
        <v>33584840.547999993</v>
      </c>
      <c r="D460">
        <v>4782780.3570000008</v>
      </c>
      <c r="E460" s="12">
        <v>38394172</v>
      </c>
      <c r="F460" s="13">
        <v>974</v>
      </c>
      <c r="G460">
        <v>5423</v>
      </c>
      <c r="H460" s="12">
        <v>6397</v>
      </c>
      <c r="I460" s="15">
        <f t="shared" si="37"/>
        <v>0.87473798231669098</v>
      </c>
      <c r="J460" s="15">
        <f t="shared" si="38"/>
        <v>0.12457047796212406</v>
      </c>
      <c r="K460" s="14">
        <f t="shared" si="40"/>
        <v>2.5368433521629272E-5</v>
      </c>
      <c r="L460" s="14">
        <f t="shared" si="41"/>
        <v>1.4124539526467716E-4</v>
      </c>
      <c r="M460" s="16">
        <f t="shared" si="39"/>
        <v>1.6661382878630643E-4</v>
      </c>
    </row>
    <row r="461" spans="1:13" x14ac:dyDescent="0.3">
      <c r="A461" t="s">
        <v>14</v>
      </c>
      <c r="B461" s="12">
        <v>2016</v>
      </c>
      <c r="C461" s="13">
        <v>33617094.654999994</v>
      </c>
      <c r="D461">
        <v>4959017.1349999998</v>
      </c>
      <c r="E461" s="12">
        <v>38572021</v>
      </c>
      <c r="F461" s="13">
        <v>1032</v>
      </c>
      <c r="G461">
        <v>5085</v>
      </c>
      <c r="H461" s="12">
        <v>6117</v>
      </c>
      <c r="I461" s="15">
        <f t="shared" si="37"/>
        <v>0.8715409196474303</v>
      </c>
      <c r="J461" s="15">
        <f t="shared" si="38"/>
        <v>0.12856513624214816</v>
      </c>
      <c r="K461" s="14">
        <f t="shared" si="40"/>
        <v>2.6755144616352873E-5</v>
      </c>
      <c r="L461" s="14">
        <f t="shared" si="41"/>
        <v>1.3183130850208757E-4</v>
      </c>
      <c r="M461" s="16">
        <f t="shared" si="39"/>
        <v>1.5858645311844045E-4</v>
      </c>
    </row>
    <row r="462" spans="1:13" x14ac:dyDescent="0.3">
      <c r="C462">
        <f>AVERAGE(C3:C461)</f>
        <v>5167038.4559150338</v>
      </c>
      <c r="D462">
        <f>AVERAGE(D3:D461)</f>
        <v>806988.9386448802</v>
      </c>
    </row>
    <row r="463" spans="1:13" x14ac:dyDescent="0.3">
      <c r="C463">
        <f>_xlfn.STDEV.S(C3:C462)</f>
        <v>5938164.29910897</v>
      </c>
      <c r="D463">
        <f>_xlfn.STDEV.S(D3:D462)</f>
        <v>886050.41609008634</v>
      </c>
    </row>
  </sheetData>
  <autoFilter ref="A2:M461" xr:uid="{13DB073F-1742-47F6-AD5D-36DE40DB78A4}">
    <sortState xmlns:xlrd2="http://schemas.microsoft.com/office/spreadsheetml/2017/richdata2" ref="A3:M461">
      <sortCondition ref="C2"/>
    </sortState>
  </autoFilter>
  <mergeCells count="4">
    <mergeCell ref="C1:E1"/>
    <mergeCell ref="F1:H1"/>
    <mergeCell ref="K1:M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D2B4-9E18-4996-A509-2A443F8E6B2F}">
  <sheetPr>
    <tabColor theme="6" tint="0.79998168889431442"/>
  </sheetPr>
  <dimension ref="A1:G21"/>
  <sheetViews>
    <sheetView tabSelected="1" zoomScale="108" workbookViewId="0">
      <selection activeCell="I10" sqref="I10"/>
    </sheetView>
  </sheetViews>
  <sheetFormatPr defaultRowHeight="14.4" x14ac:dyDescent="0.3"/>
  <cols>
    <col min="1" max="1" width="22.5546875" bestFit="1" customWidth="1"/>
    <col min="2" max="2" width="17.109375" bestFit="1" customWidth="1"/>
    <col min="3" max="3" width="16.88671875" bestFit="1" customWidth="1"/>
    <col min="4" max="4" width="21.5546875" bestFit="1" customWidth="1"/>
    <col min="5" max="5" width="16.88671875" customWidth="1"/>
    <col min="6" max="6" width="28.21875" bestFit="1" customWidth="1"/>
    <col min="7" max="7" width="32.109375" customWidth="1"/>
    <col min="8" max="9" width="12" bestFit="1" customWidth="1"/>
  </cols>
  <sheetData>
    <row r="1" spans="1:7" ht="26.4" customHeight="1" x14ac:dyDescent="0.3">
      <c r="A1" s="28" t="s">
        <v>77</v>
      </c>
      <c r="B1" s="35"/>
      <c r="C1" s="81" t="s">
        <v>81</v>
      </c>
      <c r="D1" s="81"/>
      <c r="E1" s="81"/>
      <c r="F1" s="81"/>
      <c r="G1" s="81"/>
    </row>
    <row r="2" spans="1:7" ht="15.6" x14ac:dyDescent="0.3">
      <c r="A2" s="56" t="s">
        <v>82</v>
      </c>
      <c r="B2" s="57"/>
      <c r="C2" s="57"/>
      <c r="D2" s="57"/>
      <c r="E2" s="57"/>
      <c r="F2" s="57"/>
      <c r="G2" s="57"/>
    </row>
    <row r="3" spans="1:7" x14ac:dyDescent="0.3">
      <c r="A3" s="33"/>
      <c r="B3" s="59" t="s">
        <v>0</v>
      </c>
      <c r="C3" s="60"/>
      <c r="D3" s="37"/>
      <c r="E3" s="61" t="s">
        <v>1</v>
      </c>
      <c r="F3" s="62"/>
      <c r="G3" s="63"/>
    </row>
    <row r="4" spans="1:7" x14ac:dyDescent="0.3">
      <c r="A4" s="34"/>
      <c r="B4" s="36" t="s">
        <v>4</v>
      </c>
      <c r="C4" s="29" t="s">
        <v>5</v>
      </c>
      <c r="D4" s="6" t="s">
        <v>6</v>
      </c>
      <c r="E4" s="17" t="s">
        <v>80</v>
      </c>
      <c r="F4" s="17" t="s">
        <v>7</v>
      </c>
      <c r="G4" s="17" t="s">
        <v>87</v>
      </c>
    </row>
    <row r="5" spans="1:7" x14ac:dyDescent="0.3">
      <c r="A5" s="24" t="s">
        <v>61</v>
      </c>
      <c r="B5" s="24" t="s">
        <v>67</v>
      </c>
      <c r="C5" s="23" t="s">
        <v>67</v>
      </c>
      <c r="D5" s="23" t="s">
        <v>67</v>
      </c>
      <c r="E5" s="23" t="s">
        <v>67</v>
      </c>
      <c r="F5" s="18" t="s">
        <v>67</v>
      </c>
      <c r="G5" s="18" t="s">
        <v>67</v>
      </c>
    </row>
    <row r="6" spans="1:7" x14ac:dyDescent="0.3">
      <c r="A6" s="24" t="s">
        <v>62</v>
      </c>
      <c r="B6" s="24" t="s">
        <v>85</v>
      </c>
      <c r="C6" s="23" t="s">
        <v>85</v>
      </c>
      <c r="D6" s="23" t="s">
        <v>85</v>
      </c>
      <c r="E6" s="23" t="s">
        <v>85</v>
      </c>
      <c r="F6" s="18" t="s">
        <v>68</v>
      </c>
      <c r="G6" s="18" t="s">
        <v>68</v>
      </c>
    </row>
    <row r="7" spans="1:7" x14ac:dyDescent="0.3">
      <c r="A7" s="24" t="s">
        <v>65</v>
      </c>
      <c r="B7" s="30">
        <f>AVERAGE('Integrated Data Set'!C3:C461)</f>
        <v>5167038.4559150338</v>
      </c>
      <c r="C7" s="40">
        <f>AVERAGE('Integrated Data Set'!D3:D461)</f>
        <v>806988.9386448802</v>
      </c>
      <c r="D7" s="30">
        <f>AVERAGE('Integrated Data Set'!E3:E461)</f>
        <v>5973848.6732026143</v>
      </c>
      <c r="E7" s="30">
        <f>AVERAGE('Integrated Data Set'!F3:F461)</f>
        <v>490.31590413943354</v>
      </c>
      <c r="F7" s="21">
        <f>AVERAGE('Integrated Data Set'!G3:G461)</f>
        <v>890.33115468409585</v>
      </c>
      <c r="G7" s="21">
        <f>AVERAGE('Integrated Data Set'!H3:H461)</f>
        <v>1380.6470588235295</v>
      </c>
    </row>
    <row r="8" spans="1:7" x14ac:dyDescent="0.3">
      <c r="A8" s="24" t="s">
        <v>74</v>
      </c>
      <c r="B8" s="30">
        <f>MEDIAN('Integrated Data Set'!C3:C461)</f>
        <v>3537210.4849999994</v>
      </c>
      <c r="C8" s="30">
        <f>MEDIAN('Integrated Data Set'!D3:D461)</f>
        <v>546937.87700000009</v>
      </c>
      <c r="D8" s="30">
        <f>MEDIAN('Integrated Data Set'!E3:E461)</f>
        <v>4079507</v>
      </c>
      <c r="E8" s="30">
        <f>MEDIAN('Integrated Data Set'!F3:F461)</f>
        <v>454</v>
      </c>
      <c r="F8" s="21">
        <f>MEDIAN('Integrated Data Set'!G3:G461)</f>
        <v>579</v>
      </c>
      <c r="G8" s="21">
        <f>MEDIAN('Integrated Data Set'!H3:H461)</f>
        <v>1010</v>
      </c>
    </row>
    <row r="9" spans="1:7" x14ac:dyDescent="0.3">
      <c r="A9" s="25" t="s">
        <v>84</v>
      </c>
      <c r="B9" s="31" t="s">
        <v>86</v>
      </c>
      <c r="C9" s="31" t="s">
        <v>86</v>
      </c>
      <c r="D9" s="31" t="s">
        <v>86</v>
      </c>
      <c r="E9" s="31" t="s">
        <v>86</v>
      </c>
      <c r="F9" s="19" t="s">
        <v>86</v>
      </c>
      <c r="G9" s="18" t="s">
        <v>86</v>
      </c>
    </row>
    <row r="10" spans="1:7" x14ac:dyDescent="0.3">
      <c r="A10" s="24" t="s">
        <v>63</v>
      </c>
      <c r="B10" s="30">
        <f>_xlfn.VAR.P('Integrated Data Set'!C3:C461)</f>
        <v>35261795243212.32</v>
      </c>
      <c r="C10" s="30">
        <f>_xlfn.VAR.P('Integrated Data Set'!D3:D461)</f>
        <v>785085339853.41492</v>
      </c>
      <c r="D10" s="30">
        <f>_xlfn.VAR.P('Integrated Data Set'!E3:E461)</f>
        <v>46231461355325.594</v>
      </c>
      <c r="E10" s="30">
        <f>_xlfn.VAR.S('Integrated Data Set'!F3:F461)</f>
        <v>15268.041908078123</v>
      </c>
      <c r="F10" s="21">
        <f>_xlfn.VAR.S('Integrated Data Set'!G3:G461)</f>
        <v>951949.20450761577</v>
      </c>
      <c r="G10" s="21">
        <f>_xlfn.VAR.S('Integrated Data Set'!H3:H461)</f>
        <v>1181920.5563832519</v>
      </c>
    </row>
    <row r="11" spans="1:7" x14ac:dyDescent="0.3">
      <c r="A11" s="24" t="s">
        <v>64</v>
      </c>
      <c r="B11" s="30">
        <f>_xlfn.STDEV.P('Integrated Data Set'!C3:C461)</f>
        <v>5938164.29910897</v>
      </c>
      <c r="C11" s="40">
        <f>_xlfn.STDEV.P('Integrated Data Set'!D3:D461)</f>
        <v>886050.41609008622</v>
      </c>
      <c r="D11" s="30">
        <f>_xlfn.STDEV.P('Integrated Data Set'!E3:E461)</f>
        <v>6799372.1294929571</v>
      </c>
      <c r="E11" s="30">
        <f>_xlfn.STDEV.S('Integrated Data Set'!F3:F461)</f>
        <v>123.56391830982912</v>
      </c>
      <c r="F11" s="21">
        <f>_xlfn.STDEV.S('Integrated Data Set'!G3:G461)</f>
        <v>975.67884291277721</v>
      </c>
      <c r="G11" s="21">
        <f>_xlfn.STDEV.S('Integrated Data Set'!H3:H461)</f>
        <v>1087.1616974412095</v>
      </c>
    </row>
    <row r="12" spans="1:7" x14ac:dyDescent="0.3">
      <c r="A12" s="58" t="s">
        <v>75</v>
      </c>
      <c r="B12" s="30">
        <f t="shared" ref="B12:G12" si="0">(B7-(2*B11))</f>
        <v>-6709290.1423029061</v>
      </c>
      <c r="C12" s="30">
        <f t="shared" si="0"/>
        <v>-965111.89353529224</v>
      </c>
      <c r="D12" s="30">
        <f t="shared" ref="D12:E12" si="1">(D7-(2*D11))</f>
        <v>-7624895.5857833</v>
      </c>
      <c r="E12" s="30">
        <f t="shared" si="1"/>
        <v>243.1880675197753</v>
      </c>
      <c r="F12" s="21">
        <f t="shared" si="0"/>
        <v>-1061.0265311414587</v>
      </c>
      <c r="G12" s="21">
        <f t="shared" si="0"/>
        <v>-793.67633605888955</v>
      </c>
    </row>
    <row r="13" spans="1:7" x14ac:dyDescent="0.3">
      <c r="A13" s="58"/>
      <c r="B13" s="30">
        <f t="shared" ref="B13:G13" si="2">(B7+(2*B11))</f>
        <v>17043367.054132976</v>
      </c>
      <c r="C13" s="30">
        <f t="shared" si="2"/>
        <v>2579089.7708250526</v>
      </c>
      <c r="D13" s="30">
        <f t="shared" ref="D13:E13" si="3">(D7+(2*D11))</f>
        <v>19572592.93218853</v>
      </c>
      <c r="E13" s="30">
        <f t="shared" si="3"/>
        <v>737.44374075909172</v>
      </c>
      <c r="F13" s="21">
        <f t="shared" si="2"/>
        <v>2841.6888405096502</v>
      </c>
      <c r="G13" s="21">
        <f t="shared" si="2"/>
        <v>3554.9704537059488</v>
      </c>
    </row>
    <row r="14" spans="1:7" x14ac:dyDescent="0.3">
      <c r="A14" s="24" t="s">
        <v>76</v>
      </c>
      <c r="B14" s="30">
        <f xml:space="preserve"> COUNTIF('Integrated Data Set'!C3:C461,"&lt;"&amp;B12)+COUNTIF('Integrated Data Set'!C3:C461,"&gt;"&amp;B13)</f>
        <v>18</v>
      </c>
      <c r="C14" s="30">
        <f xml:space="preserve"> COUNTIF('Integrated Data Set'!D3:D461,"&lt;"&amp;C12)+COUNTIF('Integrated Data Set'!D3:D461,"&gt;"&amp;C13)</f>
        <v>30</v>
      </c>
      <c r="D14" s="30">
        <f xml:space="preserve"> COUNTIF('Integrated Data Set'!E3:E461,"&lt;"&amp;D12)+COUNTIF('Integrated Data Set'!E3:E461,"&gt;"&amp;D13)</f>
        <v>22</v>
      </c>
      <c r="E14" s="30">
        <f xml:space="preserve"> COUNTIF('Integrated Data Set'!F3:F461,"&lt;"&amp;E12)+COUNTIF('Integrated Data Set'!F3:F461,"&gt;"&amp;E13)</f>
        <v>27</v>
      </c>
      <c r="F14" s="21">
        <f xml:space="preserve"> COUNTIF('Integrated Data Set'!G3:G461,"&lt;"&amp;F12)+COUNTIF('Integrated Data Set'!G3:G461,"&gt;"&amp;F13)</f>
        <v>18</v>
      </c>
      <c r="G14" s="21">
        <f xml:space="preserve"> COUNTIF('Integrated Data Set'!H3:H461,"&lt;"&amp;G12)+COUNTIF('Integrated Data Set'!H3:H461,"&gt;"&amp;G13)</f>
        <v>19</v>
      </c>
    </row>
    <row r="15" spans="1:7" x14ac:dyDescent="0.3">
      <c r="A15" s="24" t="s">
        <v>66</v>
      </c>
      <c r="B15" s="32">
        <f>B14/COUNT('Integrated Data Set'!C3:C461)</f>
        <v>3.9215686274509803E-2</v>
      </c>
      <c r="C15" s="32">
        <f>C14/COUNT('Integrated Data Set'!D3:D461)</f>
        <v>6.535947712418301E-2</v>
      </c>
      <c r="D15" s="32">
        <f>D14/COUNT('Integrated Data Set'!E3:E461)</f>
        <v>4.793028322440087E-2</v>
      </c>
      <c r="E15" s="32">
        <f>E14/COUNT('Integrated Data Set'!F3:F461)</f>
        <v>5.8823529411764705E-2</v>
      </c>
      <c r="F15" s="22">
        <f>F14/COUNT('Integrated Data Set'!G3:G461)</f>
        <v>3.9215686274509803E-2</v>
      </c>
      <c r="G15" s="22">
        <f>G14/COUNT('Integrated Data Set'!H3:H461)</f>
        <v>4.1394335511982572E-2</v>
      </c>
    </row>
    <row r="16" spans="1:7" ht="15.6" x14ac:dyDescent="0.3">
      <c r="A16" s="64" t="s">
        <v>83</v>
      </c>
      <c r="B16" s="65"/>
      <c r="C16" s="65"/>
      <c r="D16" s="65"/>
      <c r="E16" s="65"/>
      <c r="F16" s="43"/>
      <c r="G16" s="44"/>
    </row>
    <row r="17" spans="1:7" x14ac:dyDescent="0.3">
      <c r="A17" s="42" t="s">
        <v>69</v>
      </c>
      <c r="B17" s="75" t="s">
        <v>90</v>
      </c>
      <c r="C17" s="76"/>
      <c r="D17" s="76"/>
      <c r="E17" s="76"/>
      <c r="F17" s="76"/>
      <c r="G17" s="77"/>
    </row>
    <row r="18" spans="1:7" ht="33.6" customHeight="1" x14ac:dyDescent="0.3">
      <c r="A18" s="42" t="s">
        <v>70</v>
      </c>
      <c r="B18" s="70" t="s">
        <v>89</v>
      </c>
      <c r="C18" s="72"/>
      <c r="D18" s="72"/>
      <c r="E18" s="72"/>
      <c r="F18" s="72"/>
      <c r="G18" s="71"/>
    </row>
    <row r="19" spans="1:7" x14ac:dyDescent="0.3">
      <c r="A19" s="42" t="s">
        <v>71</v>
      </c>
      <c r="B19" s="68">
        <f>CORREL('Integrated Data Set'!D3:D461,'Integrated Data Set'!H3:H461)</f>
        <v>0.94370665255265174</v>
      </c>
      <c r="C19" s="73"/>
      <c r="D19" s="73"/>
      <c r="E19" s="73"/>
      <c r="F19" s="73"/>
      <c r="G19" s="66"/>
    </row>
    <row r="20" spans="1:7" x14ac:dyDescent="0.3">
      <c r="A20" s="42" t="s">
        <v>72</v>
      </c>
      <c r="B20" s="69" t="s">
        <v>88</v>
      </c>
      <c r="C20" s="74"/>
      <c r="D20" s="74"/>
      <c r="E20" s="74"/>
      <c r="F20" s="74"/>
      <c r="G20" s="67"/>
    </row>
    <row r="21" spans="1:7" ht="35.4" customHeight="1" x14ac:dyDescent="0.3">
      <c r="A21" s="41" t="s">
        <v>73</v>
      </c>
      <c r="B21" s="78" t="s">
        <v>91</v>
      </c>
      <c r="C21" s="79"/>
      <c r="D21" s="79"/>
      <c r="E21" s="79"/>
      <c r="F21" s="79"/>
      <c r="G21" s="80"/>
    </row>
  </sheetData>
  <mergeCells count="11">
    <mergeCell ref="B17:G17"/>
    <mergeCell ref="B18:G18"/>
    <mergeCell ref="B19:G19"/>
    <mergeCell ref="B20:G20"/>
    <mergeCell ref="B21:G21"/>
    <mergeCell ref="C1:G1"/>
    <mergeCell ref="A2:G2"/>
    <mergeCell ref="A12:A13"/>
    <mergeCell ref="B3:C3"/>
    <mergeCell ref="E3:G3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Integrated Data Set</vt:lpstr>
      <vt:lpstr>Statistical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García Márquez</dc:creator>
  <cp:lastModifiedBy>Adriana García Márquez</cp:lastModifiedBy>
  <dcterms:created xsi:type="dcterms:W3CDTF">2025-01-24T16:24:23Z</dcterms:created>
  <dcterms:modified xsi:type="dcterms:W3CDTF">2025-10-23T15:25:27Z</dcterms:modified>
</cp:coreProperties>
</file>